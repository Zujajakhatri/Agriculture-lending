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ujaja K\Data Project\Agriculture lending\"/>
    </mc:Choice>
  </mc:AlternateContent>
  <xr:revisionPtr revIDLastSave="0" documentId="13_ncr:1_{B58C2B25-3D5E-42CD-B50A-DE896002D15D}" xr6:coauthVersionLast="47" xr6:coauthVersionMax="47" xr10:uidLastSave="{00000000-0000-0000-0000-000000000000}"/>
  <bookViews>
    <workbookView xWindow="11424" yWindow="0" windowWidth="11712" windowHeight="12336" tabRatio="613" xr2:uid="{C2003CE5-A70E-456D-B00A-DC85B8F25972}"/>
  </bookViews>
  <sheets>
    <sheet name="Agri-data" sheetId="1" r:id="rId1"/>
    <sheet name="Bank Wise Agri finance Data" sheetId="11" r:id="rId2"/>
    <sheet name="Output-data" sheetId="12" r:id="rId3"/>
    <sheet name="Crops Data" sheetId="8" r:id="rId4"/>
    <sheet name="Formulas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" i="1"/>
  <c r="D24" i="1"/>
  <c r="D23" i="1"/>
  <c r="D22" i="1"/>
  <c r="D21" i="1"/>
  <c r="D20" i="1"/>
  <c r="D25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</calcChain>
</file>

<file path=xl/sharedStrings.xml><?xml version="1.0" encoding="utf-8"?>
<sst xmlns="http://schemas.openxmlformats.org/spreadsheetml/2006/main" count="734" uniqueCount="124">
  <si>
    <t>Year</t>
  </si>
  <si>
    <t>Bank Type</t>
  </si>
  <si>
    <t>Province</t>
  </si>
  <si>
    <t>Crop</t>
  </si>
  <si>
    <t>Bank</t>
  </si>
  <si>
    <t>Sindh</t>
  </si>
  <si>
    <t>Punjab</t>
  </si>
  <si>
    <t>Khayber Pakhtunkhuwa</t>
  </si>
  <si>
    <t>Balochistan</t>
  </si>
  <si>
    <t>Crop Output (%)</t>
  </si>
  <si>
    <t>Livestock Output (%)</t>
  </si>
  <si>
    <t>Fisheries Output (%)</t>
  </si>
  <si>
    <t>Agriculture – Provincial GDP Contribution (%)</t>
  </si>
  <si>
    <t>Population</t>
  </si>
  <si>
    <t>Estimated Number of Employees</t>
  </si>
  <si>
    <t>Employment Rate</t>
  </si>
  <si>
    <t>Estimated Number of Farms</t>
  </si>
  <si>
    <t>Estimated Avg. Farm Size (Acres)</t>
  </si>
  <si>
    <t>Habib Bank Limited (HBL)</t>
  </si>
  <si>
    <t>Conventional + Islamic Banking</t>
  </si>
  <si>
    <t>United Bank Limited (UBL)</t>
  </si>
  <si>
    <t>MCB Bank Limited</t>
  </si>
  <si>
    <t>Allied Bank Limited (ABL)</t>
  </si>
  <si>
    <t>National Bank of Pakistan (NBP)</t>
  </si>
  <si>
    <t>Bank Alfalah Limited</t>
  </si>
  <si>
    <t>Bank AL Habib Limited</t>
  </si>
  <si>
    <t>Askari Bank Limited</t>
  </si>
  <si>
    <t>Habib Metropolitan Bank Limited</t>
  </si>
  <si>
    <t>JS Bank Limited</t>
  </si>
  <si>
    <t>Soneri Bank Limited</t>
  </si>
  <si>
    <t>Standard Chartered Bank (Pakistan) Limited</t>
  </si>
  <si>
    <t>Bank of Punjab (BOP)</t>
  </si>
  <si>
    <t>Bank of Khyber (BOK)</t>
  </si>
  <si>
    <t>Sindh Bank Limited</t>
  </si>
  <si>
    <t>First Women Bank Limited</t>
  </si>
  <si>
    <t>Meezan Bank Limited</t>
  </si>
  <si>
    <t>Full Islamic</t>
  </si>
  <si>
    <t>BankIslami Pakistan Limited</t>
  </si>
  <si>
    <t>Dubai Islamic Bank Pakistan Limited</t>
  </si>
  <si>
    <t>Al Baraka Bank (Pakistan) Limited</t>
  </si>
  <si>
    <t>Faysal Bank Limited</t>
  </si>
  <si>
    <t>Bank Makramah Limited</t>
  </si>
  <si>
    <t>Citibank N.A. Pakistan</t>
  </si>
  <si>
    <t>Foreign Commercial</t>
  </si>
  <si>
    <t>Deutsche Bank AG Pakistan</t>
  </si>
  <si>
    <t>Industrial and Commercial Bank of China (ICBC) Pakistan</t>
  </si>
  <si>
    <t>Bank of China Pakistan</t>
  </si>
  <si>
    <t>U Microfinance Bank Limited (UBank)</t>
  </si>
  <si>
    <t>Microfinance Bank</t>
  </si>
  <si>
    <t>Mobilink Microfinance Bank Limited (JazzCash)</t>
  </si>
  <si>
    <t>Khushhali Microfinance Bank Limited</t>
  </si>
  <si>
    <t>NRSP Microfinance Bank Limited</t>
  </si>
  <si>
    <t>ABHI Microfinance Bank Limited</t>
  </si>
  <si>
    <t>LOLC Microfinance Bank Limited</t>
  </si>
  <si>
    <t>Sindh Microfinance Bank Limited</t>
  </si>
  <si>
    <t>Halan Microfinance Bank Limited</t>
  </si>
  <si>
    <t>APNA Microfinance Bank Limited</t>
  </si>
  <si>
    <t>Easypaisa Bank Limited</t>
  </si>
  <si>
    <t>Digital Bank</t>
  </si>
  <si>
    <t>Agriculture Gross Advances(PKR bn)</t>
  </si>
  <si>
    <t>Agricultural Credit Disbursement (PKR Bn)</t>
  </si>
  <si>
    <t>Cotton</t>
  </si>
  <si>
    <t>Rice</t>
  </si>
  <si>
    <t>Wheat</t>
  </si>
  <si>
    <t>Sugarcane</t>
  </si>
  <si>
    <t>Bananas</t>
  </si>
  <si>
    <t>Mangoes</t>
  </si>
  <si>
    <t>Dates</t>
  </si>
  <si>
    <t>Guavas</t>
  </si>
  <si>
    <t>Papayas</t>
  </si>
  <si>
    <t>Coconuts</t>
  </si>
  <si>
    <t>Tomatoes</t>
  </si>
  <si>
    <t>Onions</t>
  </si>
  <si>
    <t>Chillies</t>
  </si>
  <si>
    <t>Potatoes</t>
  </si>
  <si>
    <t>Gourds</t>
  </si>
  <si>
    <t>Sunflower</t>
  </si>
  <si>
    <t>Sesame</t>
  </si>
  <si>
    <t>Chickpeas</t>
  </si>
  <si>
    <t>Citrus (Kinnow)</t>
  </si>
  <si>
    <t>Pomegranates</t>
  </si>
  <si>
    <t>Garlic</t>
  </si>
  <si>
    <t>Peas</t>
  </si>
  <si>
    <t>Carrots</t>
  </si>
  <si>
    <t>Radish</t>
  </si>
  <si>
    <t>Mash</t>
  </si>
  <si>
    <t>Lentils (Masoor)</t>
  </si>
  <si>
    <t>Canola</t>
  </si>
  <si>
    <t>Berseem</t>
  </si>
  <si>
    <t>Sorghum</t>
  </si>
  <si>
    <t>Tobacco</t>
  </si>
  <si>
    <t>Peaches</t>
  </si>
  <si>
    <t>Plums</t>
  </si>
  <si>
    <t>Apples</t>
  </si>
  <si>
    <t>Oranges</t>
  </si>
  <si>
    <t>Pears</t>
  </si>
  <si>
    <t>Apricots</t>
  </si>
  <si>
    <t>Persimmons</t>
  </si>
  <si>
    <t>Walnuts</t>
  </si>
  <si>
    <t>Figs</t>
  </si>
  <si>
    <t>Turnip</t>
  </si>
  <si>
    <t>Mung Beans</t>
  </si>
  <si>
    <t>Groundnuts (Peanuts)</t>
  </si>
  <si>
    <t>Grapes</t>
  </si>
  <si>
    <t>Cherries</t>
  </si>
  <si>
    <t>Almonds</t>
  </si>
  <si>
    <t>Cucumbers</t>
  </si>
  <si>
    <t>Watermelon</t>
  </si>
  <si>
    <t>Okra</t>
  </si>
  <si>
    <t>Barley</t>
  </si>
  <si>
    <t>Cabbage/Cauliflower</t>
  </si>
  <si>
    <t>Lucerne /Alfalfa</t>
  </si>
  <si>
    <t>Sweet Melons</t>
  </si>
  <si>
    <t>Total Advances (PKR Bn)</t>
  </si>
  <si>
    <t>Maize</t>
  </si>
  <si>
    <t>Cumin</t>
  </si>
  <si>
    <t>Specialized Bank</t>
  </si>
  <si>
    <t>Zarai Taraqiati Bank Limited (ZTBL)</t>
  </si>
  <si>
    <t>Punjab Provincial Cooperative Bank Limited (PPCBL)</t>
  </si>
  <si>
    <t>Agricultural Share of Employment (%)</t>
  </si>
  <si>
    <t>HBL Microfinance Bank</t>
  </si>
  <si>
    <t>Mustard (Sarson) / Rapeseed</t>
  </si>
  <si>
    <t>Cultivated Area (Acres)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</si>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</sst>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D0D0D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333333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A0A0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1" fillId="0" borderId="0" xfId="0" applyNumberFormat="1" applyFont="1"/>
    <xf numFmtId="2" fontId="3" fillId="0" borderId="0" xfId="0" applyNumberFormat="1" applyFon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right" vertical="center" wrapText="1"/>
    </xf>
    <xf numFmtId="0" fontId="2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1" fontId="0" fillId="0" borderId="0" xfId="0" applyNumberFormat="1"/>
    <xf numFmtId="3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10" fontId="0" fillId="0" borderId="0" xfId="0" applyNumberForma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top"/>
    </xf>
    <xf numFmtId="3" fontId="5" fillId="0" borderId="0" xfId="0" applyNumberFormat="1" applyFont="1" applyAlignment="1">
      <alignment vertical="top"/>
    </xf>
    <xf numFmtId="0" fontId="6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137160</xdr:rowOff>
    </xdr:from>
    <xdr:to>
      <xdr:col>7</xdr:col>
      <xdr:colOff>525780</xdr:colOff>
      <xdr:row>8</xdr:row>
      <xdr:rowOff>165253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7D7E7D-2856-F7E2-634C-5A14BA28ED5E}"/>
            </a:ext>
          </a:extLst>
        </xdr:cNvPr>
        <xdr:cNvSpPr txBox="1"/>
      </xdr:nvSpPr>
      <xdr:spPr>
        <a:xfrm>
          <a:off x="1440455" y="688003"/>
          <a:ext cx="3326819" cy="946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number of farms (2020-2025) BALOCHISTAN</a:t>
          </a:r>
        </a:p>
        <a:p>
          <a:r>
            <a:rPr lang="en-US"/>
            <a:t>2010 = 359,562</a:t>
          </a:r>
          <a:br>
            <a:rPr lang="en-US"/>
          </a:br>
          <a:r>
            <a:rPr lang="en-US"/>
            <a:t>2024 = 633,307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(633307 / 359562)^(1/14) - 1</a:t>
          </a:r>
          <a:r>
            <a:rPr lang="en-US"/>
            <a:t> = </a:t>
          </a:r>
          <a:r>
            <a:rPr lang="en-US" b="1"/>
            <a:t>4.13%</a:t>
          </a:r>
          <a:endParaRPr lang="en-US" sz="1100"/>
        </a:p>
      </xdr:txBody>
    </xdr:sp>
    <xdr:clientData/>
  </xdr:twoCellAnchor>
  <xdr:twoCellAnchor>
    <xdr:from>
      <xdr:col>2</xdr:col>
      <xdr:colOff>198120</xdr:colOff>
      <xdr:row>10</xdr:row>
      <xdr:rowOff>7620</xdr:rowOff>
    </xdr:from>
    <xdr:to>
      <xdr:col>7</xdr:col>
      <xdr:colOff>525780</xdr:colOff>
      <xdr:row>14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FF4A25-65E2-4B10-A36D-7F3A644DA15E}"/>
            </a:ext>
          </a:extLst>
        </xdr:cNvPr>
        <xdr:cNvSpPr txBox="1"/>
      </xdr:nvSpPr>
      <xdr:spPr>
        <a:xfrm>
          <a:off x="1417320" y="1836420"/>
          <a:ext cx="33756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number of farms (2020-2025) SINDH</a:t>
          </a:r>
        </a:p>
        <a:p>
          <a:r>
            <a:rPr lang="en-US"/>
            <a:t>2010 = 1,115,285 </a:t>
          </a:r>
          <a:br>
            <a:rPr lang="en-US"/>
          </a:br>
          <a:r>
            <a:rPr lang="en-US"/>
            <a:t>2024 = 1,826,420 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1,826,420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1,115,285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)^(1/14) - 1</a:t>
          </a:r>
          <a:r>
            <a:rPr lang="en-US"/>
            <a:t> = </a:t>
          </a:r>
          <a:r>
            <a:rPr lang="en-US" b="1"/>
            <a:t>3.586%</a:t>
          </a:r>
          <a:endParaRPr lang="en-US" sz="1100" b="1"/>
        </a:p>
      </xdr:txBody>
    </xdr:sp>
    <xdr:clientData/>
  </xdr:twoCellAnchor>
  <xdr:twoCellAnchor>
    <xdr:from>
      <xdr:col>2</xdr:col>
      <xdr:colOff>205740</xdr:colOff>
      <xdr:row>15</xdr:row>
      <xdr:rowOff>175260</xdr:rowOff>
    </xdr:from>
    <xdr:to>
      <xdr:col>7</xdr:col>
      <xdr:colOff>533400</xdr:colOff>
      <xdr:row>20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01114-4BA1-4AF1-A0A6-B06D5B1942F7}"/>
            </a:ext>
          </a:extLst>
        </xdr:cNvPr>
        <xdr:cNvSpPr txBox="1"/>
      </xdr:nvSpPr>
      <xdr:spPr>
        <a:xfrm>
          <a:off x="1424940" y="2918460"/>
          <a:ext cx="33756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number of farms (2020-2025) PUNJAB</a:t>
          </a:r>
        </a:p>
        <a:p>
          <a:r>
            <a:rPr lang="en-US"/>
            <a:t>2010 = 5,249,804  </a:t>
          </a:r>
          <a:br>
            <a:rPr lang="en-US"/>
          </a:br>
          <a:r>
            <a:rPr lang="en-US"/>
            <a:t>2024 = 5,067,360  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5,067,360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5,249,804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)^(1/14) - 1</a:t>
          </a:r>
          <a:r>
            <a:rPr lang="en-US"/>
            <a:t> = </a:t>
          </a:r>
          <a:r>
            <a:rPr lang="en-US" b="1"/>
            <a:t>-0.252%</a:t>
          </a:r>
          <a:endParaRPr lang="en-US" sz="1100"/>
        </a:p>
      </xdr:txBody>
    </xdr:sp>
    <xdr:clientData/>
  </xdr:twoCellAnchor>
  <xdr:twoCellAnchor>
    <xdr:from>
      <xdr:col>2</xdr:col>
      <xdr:colOff>205740</xdr:colOff>
      <xdr:row>21</xdr:row>
      <xdr:rowOff>175260</xdr:rowOff>
    </xdr:from>
    <xdr:to>
      <xdr:col>7</xdr:col>
      <xdr:colOff>533400</xdr:colOff>
      <xdr:row>26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5DFB63-4DE8-4F9C-ACBB-A7D083F66637}"/>
            </a:ext>
          </a:extLst>
        </xdr:cNvPr>
        <xdr:cNvSpPr txBox="1"/>
      </xdr:nvSpPr>
      <xdr:spPr>
        <a:xfrm>
          <a:off x="1424940" y="4015740"/>
          <a:ext cx="33756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number of farms (2020-2025) KPK</a:t>
          </a:r>
        </a:p>
        <a:p>
          <a:r>
            <a:rPr lang="en-US"/>
            <a:t>2010 = 1,539,829   </a:t>
          </a:r>
          <a:br>
            <a:rPr lang="en-US"/>
          </a:br>
          <a:r>
            <a:rPr lang="en-US"/>
            <a:t>2024 = 4,170,000  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4,170,000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1,539,829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)^(1/14) - 1</a:t>
          </a:r>
          <a:r>
            <a:rPr lang="en-US"/>
            <a:t> = </a:t>
          </a:r>
          <a:r>
            <a:rPr lang="en-US" b="1"/>
            <a:t>7.375%</a:t>
          </a:r>
          <a:endParaRPr lang="en-US" sz="1100"/>
        </a:p>
      </xdr:txBody>
    </xdr:sp>
    <xdr:clientData/>
  </xdr:twoCellAnchor>
  <xdr:twoCellAnchor>
    <xdr:from>
      <xdr:col>8</xdr:col>
      <xdr:colOff>114300</xdr:colOff>
      <xdr:row>10</xdr:row>
      <xdr:rowOff>7620</xdr:rowOff>
    </xdr:from>
    <xdr:to>
      <xdr:col>13</xdr:col>
      <xdr:colOff>441960</xdr:colOff>
      <xdr:row>14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B1D4CC-BFE1-4D67-B3D5-F6706171C0B7}"/>
            </a:ext>
          </a:extLst>
        </xdr:cNvPr>
        <xdr:cNvSpPr txBox="1"/>
      </xdr:nvSpPr>
      <xdr:spPr>
        <a:xfrm>
          <a:off x="4991100" y="1836420"/>
          <a:ext cx="33756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Farm Size (2020-2025) Sindh growth rate</a:t>
          </a:r>
        </a:p>
        <a:p>
          <a:r>
            <a:rPr lang="en-US"/>
            <a:t>2010 | Average Farm Size = 8.8 acres</a:t>
          </a:r>
        </a:p>
        <a:p>
          <a:r>
            <a:rPr lang="en-US"/>
            <a:t> 2024 | Average Farm Size = 5.0 acres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5.0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8.8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)^(1/14) - 1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-3.958%</a:t>
          </a:r>
          <a:endParaRPr lang="en-US" sz="1100"/>
        </a:p>
      </xdr:txBody>
    </xdr:sp>
    <xdr:clientData/>
  </xdr:twoCellAnchor>
  <xdr:twoCellAnchor>
    <xdr:from>
      <xdr:col>8</xdr:col>
      <xdr:colOff>121920</xdr:colOff>
      <xdr:row>15</xdr:row>
      <xdr:rowOff>175260</xdr:rowOff>
    </xdr:from>
    <xdr:to>
      <xdr:col>13</xdr:col>
      <xdr:colOff>449580</xdr:colOff>
      <xdr:row>20</xdr:row>
      <xdr:rowOff>160020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9A00483-B98C-40F9-8B2B-D99695FBEB2B}"/>
            </a:ext>
          </a:extLst>
        </xdr:cNvPr>
        <xdr:cNvSpPr txBox="1"/>
      </xdr:nvSpPr>
      <xdr:spPr>
        <a:xfrm>
          <a:off x="4998720" y="2918460"/>
          <a:ext cx="33756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Farm Size (2020-2025) Punjab growth rate</a:t>
          </a:r>
        </a:p>
        <a:p>
          <a:r>
            <a:rPr lang="en-US"/>
            <a:t>2010 | Average Farm Size = 5.6 acres</a:t>
          </a:r>
        </a:p>
        <a:p>
          <a:r>
            <a:rPr lang="en-US"/>
            <a:t> 2024 | Average Farm Size = 6.1 acres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6.1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5.6)^(1/14) - 1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0.61%</a:t>
          </a:r>
          <a:endParaRPr lang="en-US" sz="1100"/>
        </a:p>
      </xdr:txBody>
    </xdr:sp>
    <xdr:clientData/>
  </xdr:twoCellAnchor>
  <xdr:twoCellAnchor>
    <xdr:from>
      <xdr:col>8</xdr:col>
      <xdr:colOff>106680</xdr:colOff>
      <xdr:row>21</xdr:row>
      <xdr:rowOff>175260</xdr:rowOff>
    </xdr:from>
    <xdr:to>
      <xdr:col>13</xdr:col>
      <xdr:colOff>434340</xdr:colOff>
      <xdr:row>26</xdr:row>
      <xdr:rowOff>160020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E58FE2-B47F-4B0B-B8DF-84E58912C7CA}"/>
            </a:ext>
          </a:extLst>
        </xdr:cNvPr>
        <xdr:cNvSpPr txBox="1"/>
      </xdr:nvSpPr>
      <xdr:spPr>
        <a:xfrm>
          <a:off x="4983480" y="4015740"/>
          <a:ext cx="33756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Farm Size (2020-2025) KPK growth rate</a:t>
          </a:r>
        </a:p>
        <a:p>
          <a:r>
            <a:rPr lang="en-US"/>
            <a:t>2010 | Average Farm Size = 3.6 acres</a:t>
          </a:r>
        </a:p>
        <a:p>
          <a:r>
            <a:rPr lang="en-US"/>
            <a:t> 2024 | Average Farm Size = 2.12 acres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2.12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3.6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)^(1/14) - 1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-3.7116%</a:t>
          </a:r>
          <a:endParaRPr lang="en-US" sz="1100"/>
        </a:p>
      </xdr:txBody>
    </xdr:sp>
    <xdr:clientData/>
  </xdr:twoCellAnchor>
  <xdr:twoCellAnchor>
    <xdr:from>
      <xdr:col>8</xdr:col>
      <xdr:colOff>99060</xdr:colOff>
      <xdr:row>3</xdr:row>
      <xdr:rowOff>143219</xdr:rowOff>
    </xdr:from>
    <xdr:to>
      <xdr:col>13</xdr:col>
      <xdr:colOff>601980</xdr:colOff>
      <xdr:row>8</xdr:row>
      <xdr:rowOff>174433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903362-1DED-4382-BD56-127FB1632916}"/>
            </a:ext>
          </a:extLst>
        </xdr:cNvPr>
        <xdr:cNvSpPr txBox="1"/>
      </xdr:nvSpPr>
      <xdr:spPr>
        <a:xfrm>
          <a:off x="4946482" y="694062"/>
          <a:ext cx="3532558" cy="949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Estimated Farm Size (2020-2025) Balochistan growth rate</a:t>
          </a:r>
        </a:p>
        <a:p>
          <a:r>
            <a:rPr lang="en-US"/>
            <a:t>2010 | Average Farm Size = 22.7 acres</a:t>
          </a:r>
        </a:p>
        <a:p>
          <a:r>
            <a:rPr lang="en-US"/>
            <a:t> 2024 | Average Farm Size = 16.07 acres</a:t>
          </a:r>
          <a:br>
            <a:rPr lang="en-US"/>
          </a:br>
          <a:r>
            <a:rPr lang="en-US"/>
            <a:t>CAGR 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16.07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/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22.7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)^(1/14) - 1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-2.437%</a:t>
          </a:r>
          <a:endParaRPr lang="en-US" sz="1100"/>
        </a:p>
      </xdr:txBody>
    </xdr:sp>
    <xdr:clientData/>
  </xdr:twoCellAnchor>
  <xdr:twoCellAnchor>
    <xdr:from>
      <xdr:col>4</xdr:col>
      <xdr:colOff>312145</xdr:colOff>
      <xdr:row>0</xdr:row>
      <xdr:rowOff>137711</xdr:rowOff>
    </xdr:from>
    <xdr:to>
      <xdr:col>11</xdr:col>
      <xdr:colOff>183615</xdr:colOff>
      <xdr:row>3</xdr:row>
      <xdr:rowOff>91808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3482094-9B11-C977-FBD1-2C2C45A3203E}"/>
            </a:ext>
          </a:extLst>
        </xdr:cNvPr>
        <xdr:cNvSpPr txBox="1"/>
      </xdr:nvSpPr>
      <xdr:spPr>
        <a:xfrm>
          <a:off x="2735856" y="137711"/>
          <a:ext cx="4112964" cy="504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ESTIMATED</a:t>
          </a:r>
          <a:r>
            <a:rPr lang="en-US" sz="2400" b="1" baseline="0"/>
            <a:t> VALUES FORMULAS</a:t>
          </a:r>
          <a:endParaRPr lang="en-US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8F1339-1869-4B83-8682-365A403C244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a7514a7-6391-425f-acf2-1f5e378851f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4E27-44F1-4738-AD44-2E119BFEB74F}">
  <dimension ref="A1:K25"/>
  <sheetViews>
    <sheetView tabSelected="1" topLeftCell="D1" zoomScale="96" zoomScaleNormal="96" workbookViewId="0">
      <selection activeCell="I2" sqref="I2"/>
    </sheetView>
  </sheetViews>
  <sheetFormatPr defaultColWidth="29.5546875" defaultRowHeight="14.4" x14ac:dyDescent="0.3"/>
  <cols>
    <col min="1" max="1" width="5.21875" bestFit="1" customWidth="1"/>
    <col min="2" max="2" width="20.5546875" bestFit="1" customWidth="1"/>
    <col min="3" max="3" width="11.5546875" bestFit="1" customWidth="1"/>
    <col min="4" max="4" width="28.33203125" bestFit="1" customWidth="1"/>
    <col min="5" max="5" width="37.33203125" style="2" bestFit="1" customWidth="1"/>
    <col min="6" max="6" width="31.109375" style="2" bestFit="1" customWidth="1"/>
    <col min="7" max="7" width="24.5546875" style="15" bestFit="1" customWidth="1"/>
    <col min="8" max="8" width="28.44140625" bestFit="1" customWidth="1"/>
    <col min="9" max="9" width="13.6640625" style="23" bestFit="1" customWidth="1"/>
    <col min="10" max="10" width="11.109375" style="23" bestFit="1" customWidth="1"/>
    <col min="11" max="11" width="12.21875" style="23" bestFit="1" customWidth="1"/>
    <col min="12" max="12" width="25.88671875" bestFit="1" customWidth="1"/>
  </cols>
  <sheetData>
    <row r="1" spans="1:11" s="33" customFormat="1" x14ac:dyDescent="0.3">
      <c r="A1" s="29" t="s">
        <v>0</v>
      </c>
      <c r="B1" s="29" t="s">
        <v>2</v>
      </c>
      <c r="C1" s="29" t="s">
        <v>13</v>
      </c>
      <c r="D1" s="29" t="s">
        <v>14</v>
      </c>
      <c r="E1" s="28" t="s">
        <v>12</v>
      </c>
      <c r="F1" s="30" t="s">
        <v>119</v>
      </c>
      <c r="G1" s="31" t="s">
        <v>16</v>
      </c>
      <c r="H1" s="29" t="s">
        <v>17</v>
      </c>
      <c r="I1" s="32" t="s">
        <v>123</v>
      </c>
      <c r="J1" s="32"/>
      <c r="K1" s="32"/>
    </row>
    <row r="2" spans="1:11" x14ac:dyDescent="0.3">
      <c r="A2">
        <v>2020</v>
      </c>
      <c r="B2" t="s">
        <v>5</v>
      </c>
      <c r="C2" s="14">
        <v>51626658</v>
      </c>
      <c r="D2" s="14">
        <f>C2*F2%*'Output-data'!F2%</f>
        <v>7124995.0705800001</v>
      </c>
      <c r="E2" s="2">
        <v>21.9</v>
      </c>
      <c r="F2" s="2">
        <v>37.299999999999997</v>
      </c>
      <c r="G2" s="15">
        <v>1586341</v>
      </c>
      <c r="H2" s="6">
        <v>5.88</v>
      </c>
    </row>
    <row r="3" spans="1:11" x14ac:dyDescent="0.3">
      <c r="A3">
        <v>2021</v>
      </c>
      <c r="B3" t="s">
        <v>5</v>
      </c>
      <c r="C3" s="14">
        <v>52948996</v>
      </c>
      <c r="D3" s="14">
        <f>C3*F3%*'Output-data'!F2%</f>
        <v>7385855.4520399999</v>
      </c>
      <c r="E3" s="3">
        <v>23.03</v>
      </c>
      <c r="F3" s="2">
        <v>37.700000000000003</v>
      </c>
      <c r="G3" s="15">
        <v>1643227</v>
      </c>
      <c r="H3" s="6">
        <v>5.64</v>
      </c>
    </row>
    <row r="4" spans="1:11" x14ac:dyDescent="0.3">
      <c r="A4">
        <v>2022</v>
      </c>
      <c r="B4" t="s">
        <v>5</v>
      </c>
      <c r="C4" s="14">
        <v>54305203</v>
      </c>
      <c r="D4" s="14">
        <f>C4*F4%*'Output-data'!F2%</f>
        <v>8117541.7444399996</v>
      </c>
      <c r="E4" s="3">
        <v>22.63</v>
      </c>
      <c r="F4" s="2">
        <v>40.4</v>
      </c>
      <c r="G4" s="15">
        <v>1702153</v>
      </c>
      <c r="H4" s="6">
        <v>5.42</v>
      </c>
    </row>
    <row r="5" spans="1:11" x14ac:dyDescent="0.3">
      <c r="A5">
        <v>2023</v>
      </c>
      <c r="B5" t="s">
        <v>5</v>
      </c>
      <c r="C5" s="14">
        <v>55696147</v>
      </c>
      <c r="D5" s="14">
        <f>C5*F5%*'Output-data'!F2%</f>
        <v>7624802.5242999997</v>
      </c>
      <c r="E5" s="3">
        <v>23.16</v>
      </c>
      <c r="F5" s="2">
        <v>37</v>
      </c>
      <c r="G5" s="15">
        <v>1763192</v>
      </c>
      <c r="H5" s="6">
        <v>5.21</v>
      </c>
    </row>
    <row r="6" spans="1:11" x14ac:dyDescent="0.3">
      <c r="A6">
        <v>2024</v>
      </c>
      <c r="B6" t="s">
        <v>5</v>
      </c>
      <c r="C6" s="14">
        <v>57122718</v>
      </c>
      <c r="D6" s="14">
        <f>C6*F6%*'Output-data'!F2%</f>
        <v>8052589.5564600006</v>
      </c>
      <c r="E6" s="3">
        <v>24.03</v>
      </c>
      <c r="F6" s="2">
        <v>38.1</v>
      </c>
      <c r="G6" s="15">
        <v>1826420</v>
      </c>
      <c r="H6" s="6">
        <v>5</v>
      </c>
    </row>
    <row r="7" spans="1:11" x14ac:dyDescent="0.3">
      <c r="A7">
        <v>2025</v>
      </c>
      <c r="B7" t="s">
        <v>5</v>
      </c>
      <c r="C7" s="14">
        <v>58585829</v>
      </c>
      <c r="D7" s="14">
        <f>C7*F7%*'Output-data'!F2%</f>
        <v>8345551.3410499999</v>
      </c>
      <c r="E7" s="3">
        <v>23.54</v>
      </c>
      <c r="F7" s="2">
        <v>38.5</v>
      </c>
      <c r="G7" s="15">
        <v>1891915</v>
      </c>
      <c r="H7" s="6">
        <v>4.8</v>
      </c>
    </row>
    <row r="8" spans="1:11" x14ac:dyDescent="0.3">
      <c r="A8">
        <v>2020</v>
      </c>
      <c r="B8" t="s">
        <v>6</v>
      </c>
      <c r="C8" s="14">
        <v>118521695</v>
      </c>
      <c r="D8" s="14">
        <f>C8*F8%*'Output-data'!F3%</f>
        <v>25056529.313916001</v>
      </c>
      <c r="E8" s="2">
        <v>19</v>
      </c>
      <c r="F8" s="2">
        <v>44.79</v>
      </c>
      <c r="G8" s="15">
        <v>5118830</v>
      </c>
      <c r="H8" s="6">
        <v>5.95</v>
      </c>
    </row>
    <row r="9" spans="1:11" x14ac:dyDescent="0.3">
      <c r="A9">
        <v>2021</v>
      </c>
      <c r="B9" t="s">
        <v>6</v>
      </c>
      <c r="C9" s="14">
        <v>121501874</v>
      </c>
      <c r="D9" s="14">
        <f>C9*F9%*'Output-data'!F3%</f>
        <v>26265789.113823999</v>
      </c>
      <c r="E9" s="2">
        <v>19.32</v>
      </c>
      <c r="F9" s="2">
        <v>45.8</v>
      </c>
      <c r="G9" s="15">
        <v>5105914</v>
      </c>
      <c r="H9" s="6">
        <v>5.98</v>
      </c>
    </row>
    <row r="10" spans="1:11" x14ac:dyDescent="0.3">
      <c r="A10">
        <v>2022</v>
      </c>
      <c r="B10" t="s">
        <v>6</v>
      </c>
      <c r="C10" s="14">
        <v>124556988</v>
      </c>
      <c r="D10" s="14">
        <f>C10*F10%*'Output-data'!F3%</f>
        <v>27014417.785392001</v>
      </c>
      <c r="E10" s="2">
        <v>19.47</v>
      </c>
      <c r="F10" s="2">
        <v>45.95</v>
      </c>
      <c r="G10" s="15">
        <v>5093030</v>
      </c>
      <c r="H10" s="6">
        <v>6.02</v>
      </c>
    </row>
    <row r="11" spans="1:11" x14ac:dyDescent="0.3">
      <c r="A11">
        <v>2023</v>
      </c>
      <c r="B11" t="s">
        <v>6</v>
      </c>
      <c r="C11" s="14">
        <v>127688922</v>
      </c>
      <c r="D11" s="14">
        <f>C11*F11%*'Output-data'!F3%</f>
        <v>28260214.3681776</v>
      </c>
      <c r="E11" s="2">
        <v>19</v>
      </c>
      <c r="F11" s="2">
        <v>46.89</v>
      </c>
      <c r="G11" s="15">
        <v>5080179</v>
      </c>
      <c r="H11" s="6">
        <v>6.06</v>
      </c>
    </row>
    <row r="12" spans="1:11" x14ac:dyDescent="0.3">
      <c r="A12">
        <v>2024</v>
      </c>
      <c r="B12" t="s">
        <v>6</v>
      </c>
      <c r="C12" s="14">
        <v>130899607</v>
      </c>
      <c r="D12" s="14">
        <f>C12*F12%*'Output-data'!F3%</f>
        <v>29360048.812300801</v>
      </c>
      <c r="E12" s="2">
        <v>19.5</v>
      </c>
      <c r="F12" s="2">
        <v>47.52</v>
      </c>
      <c r="G12" s="15">
        <v>5067360</v>
      </c>
      <c r="H12" s="6">
        <v>6.1</v>
      </c>
    </row>
    <row r="13" spans="1:11" x14ac:dyDescent="0.3">
      <c r="A13">
        <v>2025</v>
      </c>
      <c r="B13" t="s">
        <v>6</v>
      </c>
      <c r="C13" s="14">
        <v>134191023</v>
      </c>
      <c r="D13" s="14">
        <f>C13*F13%*'Output-data'!F3%</f>
        <v>30738010.434016805</v>
      </c>
      <c r="E13" s="2">
        <v>20.02</v>
      </c>
      <c r="F13" s="5">
        <v>48.53</v>
      </c>
      <c r="G13" s="15">
        <v>5054574</v>
      </c>
      <c r="H13" s="6">
        <v>6.14</v>
      </c>
    </row>
    <row r="14" spans="1:11" x14ac:dyDescent="0.3">
      <c r="A14">
        <v>2020</v>
      </c>
      <c r="B14" t="s">
        <v>7</v>
      </c>
      <c r="C14" s="13">
        <v>38177031</v>
      </c>
      <c r="D14" s="14">
        <f>C14*F14%*'Output-data'!F4%</f>
        <v>5341730.1775200004</v>
      </c>
      <c r="E14" s="2">
        <v>21.85</v>
      </c>
      <c r="F14" s="2">
        <v>31.8</v>
      </c>
      <c r="G14" s="20">
        <v>3137024</v>
      </c>
      <c r="H14">
        <v>2.4700000000000002</v>
      </c>
    </row>
    <row r="15" spans="1:11" x14ac:dyDescent="0.3">
      <c r="A15">
        <v>2021</v>
      </c>
      <c r="B15" t="s">
        <v>7</v>
      </c>
      <c r="C15" s="13">
        <v>39068720</v>
      </c>
      <c r="D15" s="14">
        <f>C15*F15%*'Output-data'!F4%</f>
        <v>5504313.8233600007</v>
      </c>
      <c r="E15" s="2">
        <v>21.71</v>
      </c>
      <c r="F15" s="2">
        <v>32.020000000000003</v>
      </c>
      <c r="G15" s="20">
        <v>3368391</v>
      </c>
      <c r="H15">
        <v>2.37</v>
      </c>
    </row>
    <row r="16" spans="1:11" x14ac:dyDescent="0.3">
      <c r="A16">
        <v>2022</v>
      </c>
      <c r="B16" t="s">
        <v>7</v>
      </c>
      <c r="C16" s="13">
        <v>39960409</v>
      </c>
      <c r="D16" s="14">
        <f>C16*F16%*'Output-data'!F4%</f>
        <v>6575884.9050399996</v>
      </c>
      <c r="E16" s="2">
        <v>22.79</v>
      </c>
      <c r="F16" s="2">
        <v>37.4</v>
      </c>
      <c r="G16" s="20">
        <v>3616821</v>
      </c>
      <c r="H16">
        <v>2.29</v>
      </c>
    </row>
    <row r="17" spans="1:8" x14ac:dyDescent="0.3">
      <c r="A17">
        <v>2023</v>
      </c>
      <c r="B17" t="s">
        <v>7</v>
      </c>
      <c r="C17" s="13">
        <v>40856097</v>
      </c>
      <c r="D17" s="14">
        <f>C17*F17%*'Output-data'!F4%</f>
        <v>6489582.4474799996</v>
      </c>
      <c r="E17" s="2">
        <v>22.01</v>
      </c>
      <c r="F17" s="2">
        <v>36.1</v>
      </c>
      <c r="G17" s="20">
        <v>3883573</v>
      </c>
      <c r="H17">
        <v>2.2000000000000002</v>
      </c>
    </row>
    <row r="18" spans="1:8" x14ac:dyDescent="0.3">
      <c r="A18">
        <v>2024</v>
      </c>
      <c r="B18" t="s">
        <v>7</v>
      </c>
      <c r="C18" s="13">
        <v>41747236</v>
      </c>
      <c r="D18" s="14">
        <f>C18*F18%*'Output-data'!F4%</f>
        <v>8017974.1461599991</v>
      </c>
      <c r="E18" s="2">
        <v>22.68</v>
      </c>
      <c r="F18" s="2">
        <v>43.65</v>
      </c>
      <c r="G18" s="20">
        <v>4170000</v>
      </c>
      <c r="H18">
        <v>2.12</v>
      </c>
    </row>
    <row r="19" spans="1:8" x14ac:dyDescent="0.3">
      <c r="A19">
        <v>2025</v>
      </c>
      <c r="B19" t="s">
        <v>7</v>
      </c>
      <c r="C19" s="13">
        <v>42638375</v>
      </c>
      <c r="D19" s="14">
        <f>C19*F19%*'Output-data'!F4%</f>
        <v>8254789.4000000004</v>
      </c>
      <c r="E19" s="2">
        <v>22.7</v>
      </c>
      <c r="F19" s="2">
        <v>44</v>
      </c>
      <c r="G19" s="20">
        <v>4477552</v>
      </c>
      <c r="H19">
        <v>2.04</v>
      </c>
    </row>
    <row r="20" spans="1:8" x14ac:dyDescent="0.3">
      <c r="A20">
        <v>2020</v>
      </c>
      <c r="B20" t="s">
        <v>8</v>
      </c>
      <c r="C20" s="13">
        <v>13554496</v>
      </c>
      <c r="D20" s="14">
        <f>C20*F20%*'Output-data'!F5%</f>
        <v>2098046.2178560002</v>
      </c>
      <c r="E20" s="2">
        <v>24</v>
      </c>
      <c r="F20" s="2">
        <v>40.1</v>
      </c>
      <c r="G20" s="15">
        <v>538734</v>
      </c>
      <c r="H20" s="6">
        <v>17.739999999999998</v>
      </c>
    </row>
    <row r="21" spans="1:8" ht="15" x14ac:dyDescent="0.35">
      <c r="A21">
        <v>2021</v>
      </c>
      <c r="B21" t="s">
        <v>8</v>
      </c>
      <c r="C21" s="13">
        <v>13987173</v>
      </c>
      <c r="D21" s="14">
        <f>C21*F21%*'Output-data'!F5%</f>
        <v>2418773.8525439999</v>
      </c>
      <c r="E21" s="4">
        <v>24.02</v>
      </c>
      <c r="F21" s="2">
        <v>44.8</v>
      </c>
      <c r="G21" s="15">
        <v>560963</v>
      </c>
      <c r="H21" s="6">
        <v>17.3</v>
      </c>
    </row>
    <row r="22" spans="1:8" ht="15" x14ac:dyDescent="0.35">
      <c r="A22">
        <v>2022</v>
      </c>
      <c r="B22" t="s">
        <v>8</v>
      </c>
      <c r="C22" s="13">
        <v>14433661</v>
      </c>
      <c r="D22" s="14">
        <f>C22*F22%*'Output-data'!F5%</f>
        <v>2228557.2584000002</v>
      </c>
      <c r="E22" s="4">
        <v>24.85</v>
      </c>
      <c r="F22" s="2">
        <v>40</v>
      </c>
      <c r="G22" s="15">
        <v>584109</v>
      </c>
      <c r="H22" s="6">
        <v>16.88</v>
      </c>
    </row>
    <row r="23" spans="1:8" x14ac:dyDescent="0.3">
      <c r="A23">
        <v>2023</v>
      </c>
      <c r="B23" t="s">
        <v>8</v>
      </c>
      <c r="C23" s="13">
        <v>14894402</v>
      </c>
      <c r="D23" s="14">
        <f>C23*F23%*'Output-data'!F5%</f>
        <v>2075475.3410919998</v>
      </c>
      <c r="E23" s="2">
        <v>24.97</v>
      </c>
      <c r="F23" s="2">
        <v>36.1</v>
      </c>
      <c r="G23" s="15">
        <v>608211</v>
      </c>
      <c r="H23" s="6">
        <v>16.47</v>
      </c>
    </row>
    <row r="24" spans="1:8" ht="15" x14ac:dyDescent="0.35">
      <c r="A24">
        <v>2024</v>
      </c>
      <c r="B24" t="s">
        <v>8</v>
      </c>
      <c r="C24" s="13">
        <v>15369850</v>
      </c>
      <c r="D24" s="14">
        <f>C24*F24%*'Output-data'!F5%</f>
        <v>2218853.0254000002</v>
      </c>
      <c r="E24" s="4">
        <v>25</v>
      </c>
      <c r="F24" s="2">
        <v>37.4</v>
      </c>
      <c r="G24" s="15">
        <v>633307</v>
      </c>
      <c r="H24" s="6">
        <v>16.07</v>
      </c>
    </row>
    <row r="25" spans="1:8" x14ac:dyDescent="0.3">
      <c r="A25">
        <v>2025</v>
      </c>
      <c r="B25" t="s">
        <v>8</v>
      </c>
      <c r="C25" s="13">
        <v>15860475</v>
      </c>
      <c r="D25" s="14">
        <f>C25*F25%*'Output-data'!F5%</f>
        <v>2308048.0429500001</v>
      </c>
      <c r="E25" s="2">
        <v>25.01</v>
      </c>
      <c r="F25" s="2">
        <v>37.700000000000003</v>
      </c>
      <c r="G25" s="15">
        <v>659439</v>
      </c>
      <c r="H25" s="6">
        <v>15.68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2A92-E7B3-4D5D-9D2B-90D3EB897719}">
  <dimension ref="A1:J235"/>
  <sheetViews>
    <sheetView zoomScale="95" zoomScaleNormal="95" workbookViewId="0">
      <selection activeCell="I1" sqref="H1:I1048576"/>
    </sheetView>
  </sheetViews>
  <sheetFormatPr defaultColWidth="24.5546875" defaultRowHeight="15.6" customHeight="1" x14ac:dyDescent="0.3"/>
  <cols>
    <col min="1" max="1" width="5.21875" bestFit="1" customWidth="1"/>
    <col min="2" max="2" width="47.33203125" bestFit="1" customWidth="1"/>
    <col min="3" max="3" width="26.44140625" bestFit="1" customWidth="1"/>
    <col min="4" max="4" width="20.33203125" bestFit="1" customWidth="1"/>
    <col min="5" max="5" width="24.5546875" style="23"/>
    <col min="6" max="6" width="28.6640625" style="23" bestFit="1" customWidth="1"/>
    <col min="9" max="9" width="24.5546875" style="23"/>
    <col min="11" max="16384" width="24.5546875" style="23"/>
  </cols>
  <sheetData>
    <row r="1" spans="1:7" s="27" customFormat="1" ht="15.6" customHeight="1" x14ac:dyDescent="0.3">
      <c r="A1" s="28" t="s">
        <v>0</v>
      </c>
      <c r="B1" s="28" t="s">
        <v>4</v>
      </c>
      <c r="C1" s="28" t="s">
        <v>1</v>
      </c>
      <c r="D1" s="34" t="s">
        <v>113</v>
      </c>
      <c r="E1" s="27" t="s">
        <v>60</v>
      </c>
      <c r="F1" s="27" t="s">
        <v>59</v>
      </c>
      <c r="G1" s="28"/>
    </row>
    <row r="2" spans="1:7" ht="15.6" customHeight="1" x14ac:dyDescent="0.3">
      <c r="A2">
        <v>2020</v>
      </c>
      <c r="B2" t="s">
        <v>18</v>
      </c>
      <c r="C2" t="s">
        <v>19</v>
      </c>
      <c r="D2" s="2">
        <v>1223.5</v>
      </c>
      <c r="E2" s="23">
        <v>186.17</v>
      </c>
      <c r="F2">
        <v>127.16</v>
      </c>
    </row>
    <row r="3" spans="1:7" ht="15.6" customHeight="1" x14ac:dyDescent="0.3">
      <c r="A3">
        <v>2021</v>
      </c>
      <c r="B3" t="s">
        <v>18</v>
      </c>
      <c r="C3" t="s">
        <v>19</v>
      </c>
      <c r="D3" s="2">
        <v>1507</v>
      </c>
      <c r="E3" s="23">
        <v>210.9</v>
      </c>
      <c r="F3" s="23">
        <v>40</v>
      </c>
    </row>
    <row r="4" spans="1:7" ht="15.6" customHeight="1" x14ac:dyDescent="0.3">
      <c r="A4">
        <v>2022</v>
      </c>
      <c r="B4" t="s">
        <v>18</v>
      </c>
      <c r="C4" t="s">
        <v>19</v>
      </c>
      <c r="D4" s="2">
        <v>1780</v>
      </c>
      <c r="E4" s="23">
        <v>256.01</v>
      </c>
      <c r="F4" s="23">
        <v>50</v>
      </c>
    </row>
    <row r="5" spans="1:7" ht="15.6" customHeight="1" x14ac:dyDescent="0.3">
      <c r="A5">
        <v>2023</v>
      </c>
      <c r="B5" t="s">
        <v>18</v>
      </c>
      <c r="C5" t="s">
        <v>19</v>
      </c>
      <c r="D5" s="2">
        <v>1900</v>
      </c>
      <c r="E5" s="23">
        <v>295.45</v>
      </c>
      <c r="F5" s="23">
        <v>105</v>
      </c>
    </row>
    <row r="6" spans="1:7" ht="15.6" customHeight="1" x14ac:dyDescent="0.3">
      <c r="A6">
        <v>2024</v>
      </c>
      <c r="B6" t="s">
        <v>18</v>
      </c>
      <c r="C6" t="s">
        <v>19</v>
      </c>
      <c r="D6" s="2">
        <v>2440</v>
      </c>
      <c r="E6" s="23">
        <v>338.98</v>
      </c>
      <c r="F6" s="23">
        <v>154</v>
      </c>
    </row>
    <row r="7" spans="1:7" ht="15.6" customHeight="1" x14ac:dyDescent="0.3">
      <c r="A7">
        <v>2025</v>
      </c>
      <c r="B7" t="s">
        <v>18</v>
      </c>
      <c r="C7" t="s">
        <v>19</v>
      </c>
      <c r="D7" s="2">
        <v>3116.8</v>
      </c>
      <c r="E7" s="23">
        <v>455.56</v>
      </c>
      <c r="F7" s="24">
        <v>160</v>
      </c>
    </row>
    <row r="8" spans="1:7" ht="15.6" customHeight="1" x14ac:dyDescent="0.3">
      <c r="A8">
        <v>2020</v>
      </c>
      <c r="B8" t="s">
        <v>20</v>
      </c>
      <c r="C8" t="s">
        <v>19</v>
      </c>
      <c r="D8" s="2">
        <v>609.29999999999995</v>
      </c>
      <c r="E8" s="23">
        <v>101.4</v>
      </c>
      <c r="F8" s="25">
        <v>2.78</v>
      </c>
    </row>
    <row r="9" spans="1:7" ht="15.6" customHeight="1" x14ac:dyDescent="0.3">
      <c r="A9">
        <v>2021</v>
      </c>
      <c r="B9" t="s">
        <v>20</v>
      </c>
      <c r="C9" t="s">
        <v>19</v>
      </c>
      <c r="D9" s="2">
        <v>849.2</v>
      </c>
      <c r="E9" s="23">
        <v>115.05</v>
      </c>
      <c r="F9" s="23">
        <v>3.11</v>
      </c>
    </row>
    <row r="10" spans="1:7" ht="15.6" customHeight="1" x14ac:dyDescent="0.3">
      <c r="A10">
        <v>2022</v>
      </c>
      <c r="B10" t="s">
        <v>20</v>
      </c>
      <c r="C10" t="s">
        <v>19</v>
      </c>
      <c r="D10" s="2">
        <v>1014</v>
      </c>
      <c r="E10" s="23">
        <v>128.44</v>
      </c>
      <c r="F10" s="23">
        <v>4.04</v>
      </c>
    </row>
    <row r="11" spans="1:7" ht="15.6" customHeight="1" x14ac:dyDescent="0.3">
      <c r="A11">
        <v>2023</v>
      </c>
      <c r="B11" t="s">
        <v>20</v>
      </c>
      <c r="C11" t="s">
        <v>19</v>
      </c>
      <c r="D11" s="2">
        <v>975.7</v>
      </c>
      <c r="E11" s="23">
        <v>145.57</v>
      </c>
      <c r="F11" s="23">
        <v>5.29</v>
      </c>
    </row>
    <row r="12" spans="1:7" ht="15.6" customHeight="1" x14ac:dyDescent="0.3">
      <c r="A12">
        <v>2024</v>
      </c>
      <c r="B12" t="s">
        <v>20</v>
      </c>
      <c r="C12" t="s">
        <v>19</v>
      </c>
      <c r="D12" s="2">
        <v>1565</v>
      </c>
      <c r="E12" s="23">
        <v>188.19</v>
      </c>
      <c r="F12" s="23">
        <v>11.3</v>
      </c>
    </row>
    <row r="13" spans="1:7" ht="15.6" customHeight="1" x14ac:dyDescent="0.3">
      <c r="A13">
        <v>2025</v>
      </c>
      <c r="B13" t="s">
        <v>20</v>
      </c>
      <c r="C13" t="s">
        <v>19</v>
      </c>
      <c r="D13" s="2">
        <v>1492.43</v>
      </c>
      <c r="E13" s="23">
        <v>255.57</v>
      </c>
      <c r="F13" s="23">
        <v>24.85</v>
      </c>
    </row>
    <row r="14" spans="1:7" ht="15.6" customHeight="1" x14ac:dyDescent="0.3">
      <c r="A14">
        <v>2020</v>
      </c>
      <c r="B14" t="s">
        <v>21</v>
      </c>
      <c r="C14" t="s">
        <v>19</v>
      </c>
      <c r="D14" s="2">
        <v>513.5</v>
      </c>
      <c r="E14" s="23">
        <v>108.85</v>
      </c>
      <c r="F14" s="23">
        <v>4.9000000000000004</v>
      </c>
    </row>
    <row r="15" spans="1:7" ht="15.6" customHeight="1" x14ac:dyDescent="0.3">
      <c r="A15">
        <v>2021</v>
      </c>
      <c r="B15" t="s">
        <v>21</v>
      </c>
      <c r="C15" t="s">
        <v>19</v>
      </c>
      <c r="D15" s="2">
        <v>839.75</v>
      </c>
      <c r="E15" s="23">
        <v>125.87</v>
      </c>
      <c r="F15" s="23">
        <v>5.2</v>
      </c>
    </row>
    <row r="16" spans="1:7" ht="15.6" customHeight="1" x14ac:dyDescent="0.3">
      <c r="A16">
        <v>2022</v>
      </c>
      <c r="B16" t="s">
        <v>21</v>
      </c>
      <c r="C16" t="s">
        <v>19</v>
      </c>
      <c r="D16" s="2">
        <v>832.58</v>
      </c>
      <c r="E16" s="23">
        <v>141.79</v>
      </c>
      <c r="F16" s="23">
        <v>5.86</v>
      </c>
    </row>
    <row r="17" spans="1:6" ht="15.6" customHeight="1" x14ac:dyDescent="0.3">
      <c r="A17">
        <v>2023</v>
      </c>
      <c r="B17" t="s">
        <v>21</v>
      </c>
      <c r="C17" t="s">
        <v>19</v>
      </c>
      <c r="D17" s="2">
        <v>1094.82</v>
      </c>
      <c r="E17" s="23">
        <v>155.47999999999999</v>
      </c>
      <c r="F17" s="23">
        <v>6.15</v>
      </c>
    </row>
    <row r="18" spans="1:6" ht="15.6" customHeight="1" x14ac:dyDescent="0.3">
      <c r="A18">
        <v>2024</v>
      </c>
      <c r="B18" t="s">
        <v>21</v>
      </c>
      <c r="C18" t="s">
        <v>19</v>
      </c>
      <c r="D18" s="2">
        <v>1204.4000000000001</v>
      </c>
      <c r="E18" s="23">
        <v>175.2</v>
      </c>
      <c r="F18" s="23">
        <v>6.8</v>
      </c>
    </row>
    <row r="19" spans="1:6" ht="15.6" customHeight="1" x14ac:dyDescent="0.3">
      <c r="A19">
        <v>2025</v>
      </c>
      <c r="B19" t="s">
        <v>21</v>
      </c>
      <c r="C19" t="s">
        <v>19</v>
      </c>
      <c r="D19" s="2">
        <v>1407.6</v>
      </c>
      <c r="E19" s="23">
        <v>216.27</v>
      </c>
      <c r="F19" s="23">
        <v>12.7</v>
      </c>
    </row>
    <row r="20" spans="1:6" ht="15.6" customHeight="1" x14ac:dyDescent="0.3">
      <c r="A20">
        <v>2020</v>
      </c>
      <c r="B20" t="s">
        <v>22</v>
      </c>
      <c r="C20" t="s">
        <v>19</v>
      </c>
      <c r="D20" s="2">
        <v>510.2</v>
      </c>
      <c r="E20" s="23">
        <v>69.790000000000006</v>
      </c>
      <c r="F20" s="23">
        <v>84.69</v>
      </c>
    </row>
    <row r="21" spans="1:6" ht="15.6" customHeight="1" x14ac:dyDescent="0.3">
      <c r="A21">
        <v>2021</v>
      </c>
      <c r="B21" t="s">
        <v>22</v>
      </c>
      <c r="C21" t="s">
        <v>19</v>
      </c>
      <c r="D21" s="2">
        <v>665.7</v>
      </c>
      <c r="E21" s="23">
        <v>78.08</v>
      </c>
      <c r="F21" s="23">
        <v>147.69</v>
      </c>
    </row>
    <row r="22" spans="1:6" ht="15.6" customHeight="1" x14ac:dyDescent="0.3">
      <c r="A22">
        <v>2022</v>
      </c>
      <c r="B22" t="s">
        <v>22</v>
      </c>
      <c r="C22" t="s">
        <v>19</v>
      </c>
      <c r="D22" s="2">
        <v>857.5</v>
      </c>
      <c r="E22" s="23">
        <v>90.74</v>
      </c>
      <c r="F22" s="23">
        <v>158.24</v>
      </c>
    </row>
    <row r="23" spans="1:6" ht="15.6" customHeight="1" x14ac:dyDescent="0.3">
      <c r="A23">
        <v>2023</v>
      </c>
      <c r="B23" t="s">
        <v>22</v>
      </c>
      <c r="C23" t="s">
        <v>19</v>
      </c>
      <c r="D23" s="2">
        <v>794.1</v>
      </c>
      <c r="E23" s="23">
        <v>103.35</v>
      </c>
      <c r="F23" s="23">
        <v>178.93</v>
      </c>
    </row>
    <row r="24" spans="1:6" ht="15.6" customHeight="1" x14ac:dyDescent="0.3">
      <c r="A24">
        <v>2024</v>
      </c>
      <c r="B24" t="s">
        <v>22</v>
      </c>
      <c r="C24" t="s">
        <v>19</v>
      </c>
      <c r="D24" s="2">
        <v>1066.5999999999999</v>
      </c>
      <c r="E24" s="23">
        <v>130.46</v>
      </c>
      <c r="F24" s="23">
        <v>38.26</v>
      </c>
    </row>
    <row r="25" spans="1:6" ht="15.6" customHeight="1" x14ac:dyDescent="0.3">
      <c r="A25">
        <v>2025</v>
      </c>
      <c r="B25" t="s">
        <v>22</v>
      </c>
      <c r="C25" t="s">
        <v>19</v>
      </c>
      <c r="D25" s="2">
        <v>802</v>
      </c>
      <c r="E25" s="23">
        <v>140.9</v>
      </c>
      <c r="F25" s="23">
        <v>35.799999999999997</v>
      </c>
    </row>
    <row r="26" spans="1:6" ht="15.6" customHeight="1" x14ac:dyDescent="0.3">
      <c r="A26">
        <v>2020</v>
      </c>
      <c r="B26" t="s">
        <v>23</v>
      </c>
      <c r="C26" t="s">
        <v>19</v>
      </c>
      <c r="D26" s="2">
        <v>1159.9000000000001</v>
      </c>
      <c r="E26" s="23">
        <v>242.03</v>
      </c>
      <c r="F26" s="23">
        <v>82.1</v>
      </c>
    </row>
    <row r="27" spans="1:6" ht="15.6" customHeight="1" x14ac:dyDescent="0.3">
      <c r="A27">
        <v>2021</v>
      </c>
      <c r="B27" t="s">
        <v>23</v>
      </c>
      <c r="C27" t="s">
        <v>19</v>
      </c>
      <c r="D27" s="2">
        <v>1305.4000000000001</v>
      </c>
      <c r="E27" s="23">
        <v>271.57</v>
      </c>
      <c r="F27" s="23">
        <v>98.4</v>
      </c>
    </row>
    <row r="28" spans="1:6" ht="15.6" customHeight="1" x14ac:dyDescent="0.3">
      <c r="A28">
        <v>2022</v>
      </c>
      <c r="B28" t="s">
        <v>23</v>
      </c>
      <c r="C28" t="s">
        <v>19</v>
      </c>
      <c r="D28" s="2">
        <v>1443</v>
      </c>
      <c r="E28" s="23">
        <v>147.35</v>
      </c>
      <c r="F28" s="23">
        <v>116.5</v>
      </c>
    </row>
    <row r="29" spans="1:6" ht="15.6" customHeight="1" x14ac:dyDescent="0.3">
      <c r="A29">
        <v>2023</v>
      </c>
      <c r="B29" t="s">
        <v>23</v>
      </c>
      <c r="C29" t="s">
        <v>19</v>
      </c>
      <c r="D29" s="2">
        <v>1631.7</v>
      </c>
      <c r="E29" s="23">
        <v>278.33999999999997</v>
      </c>
      <c r="F29" s="23">
        <v>124.9</v>
      </c>
    </row>
    <row r="30" spans="1:6" ht="15.6" customHeight="1" x14ac:dyDescent="0.3">
      <c r="A30">
        <v>2024</v>
      </c>
      <c r="B30" t="s">
        <v>23</v>
      </c>
      <c r="C30" t="s">
        <v>19</v>
      </c>
      <c r="D30" s="2">
        <v>1672.8</v>
      </c>
      <c r="E30" s="23">
        <v>368.03</v>
      </c>
      <c r="F30" s="23">
        <v>126.8</v>
      </c>
    </row>
    <row r="31" spans="1:6" ht="15.6" customHeight="1" x14ac:dyDescent="0.3">
      <c r="A31">
        <v>2025</v>
      </c>
      <c r="B31" t="s">
        <v>23</v>
      </c>
      <c r="C31" t="s">
        <v>19</v>
      </c>
      <c r="D31" s="2">
        <v>1844.7</v>
      </c>
      <c r="E31" s="23">
        <v>374.17</v>
      </c>
      <c r="F31" s="23">
        <v>132.6</v>
      </c>
    </row>
    <row r="32" spans="1:6" ht="15.6" customHeight="1" x14ac:dyDescent="0.3">
      <c r="A32">
        <v>2020</v>
      </c>
      <c r="B32" t="s">
        <v>24</v>
      </c>
      <c r="C32" t="s">
        <v>19</v>
      </c>
      <c r="D32" s="2">
        <v>600.9</v>
      </c>
      <c r="E32" s="23">
        <v>45.79</v>
      </c>
      <c r="F32" s="23">
        <v>11.32</v>
      </c>
    </row>
    <row r="33" spans="1:6" ht="15.6" customHeight="1" x14ac:dyDescent="0.3">
      <c r="A33">
        <v>2021</v>
      </c>
      <c r="B33" t="s">
        <v>24</v>
      </c>
      <c r="C33" t="s">
        <v>19</v>
      </c>
      <c r="D33" s="2">
        <v>699.1</v>
      </c>
      <c r="E33" s="23">
        <v>55.06</v>
      </c>
      <c r="F33" s="23">
        <v>13.54</v>
      </c>
    </row>
    <row r="34" spans="1:6" ht="15.6" customHeight="1" x14ac:dyDescent="0.3">
      <c r="A34">
        <v>2022</v>
      </c>
      <c r="B34" t="s">
        <v>24</v>
      </c>
      <c r="C34" t="s">
        <v>19</v>
      </c>
      <c r="D34" s="2">
        <v>765.7</v>
      </c>
      <c r="E34" s="23">
        <v>68.56</v>
      </c>
      <c r="F34" s="23">
        <v>14.96</v>
      </c>
    </row>
    <row r="35" spans="1:6" ht="15.6" customHeight="1" x14ac:dyDescent="0.3">
      <c r="A35">
        <v>2023</v>
      </c>
      <c r="B35" t="s">
        <v>24</v>
      </c>
      <c r="C35" t="s">
        <v>19</v>
      </c>
      <c r="D35" s="2">
        <v>777.3</v>
      </c>
      <c r="E35" s="23">
        <v>72.37</v>
      </c>
      <c r="F35" s="23">
        <v>14.53</v>
      </c>
    </row>
    <row r="36" spans="1:6" ht="15.6" customHeight="1" x14ac:dyDescent="0.3">
      <c r="A36">
        <v>2024</v>
      </c>
      <c r="B36" t="s">
        <v>24</v>
      </c>
      <c r="C36" t="s">
        <v>19</v>
      </c>
      <c r="D36" s="2">
        <v>1156.3</v>
      </c>
      <c r="E36" s="23">
        <v>97.66</v>
      </c>
      <c r="F36" s="23">
        <v>18.149999999999999</v>
      </c>
    </row>
    <row r="37" spans="1:6" ht="15.6" customHeight="1" x14ac:dyDescent="0.3">
      <c r="A37">
        <v>2025</v>
      </c>
      <c r="B37" t="s">
        <v>24</v>
      </c>
      <c r="C37" t="s">
        <v>19</v>
      </c>
      <c r="D37" s="2">
        <v>1150</v>
      </c>
      <c r="E37" s="23">
        <v>91.02</v>
      </c>
      <c r="F37" s="23">
        <v>24.05</v>
      </c>
    </row>
    <row r="38" spans="1:6" ht="15.6" customHeight="1" x14ac:dyDescent="0.3">
      <c r="A38">
        <v>2020</v>
      </c>
      <c r="B38" t="s">
        <v>25</v>
      </c>
      <c r="C38" t="s">
        <v>19</v>
      </c>
      <c r="D38" s="2">
        <v>522.9</v>
      </c>
      <c r="E38" s="23">
        <v>66.63</v>
      </c>
      <c r="F38" s="23">
        <v>18.43</v>
      </c>
    </row>
    <row r="39" spans="1:6" ht="15.6" customHeight="1" x14ac:dyDescent="0.3">
      <c r="A39">
        <v>2021</v>
      </c>
      <c r="B39" t="s">
        <v>25</v>
      </c>
      <c r="C39" t="s">
        <v>19</v>
      </c>
      <c r="D39" s="2">
        <v>739.1</v>
      </c>
      <c r="E39" s="23">
        <v>78.67</v>
      </c>
      <c r="F39" s="23">
        <v>18.2</v>
      </c>
    </row>
    <row r="40" spans="1:6" ht="15.6" customHeight="1" x14ac:dyDescent="0.3">
      <c r="A40">
        <v>2022</v>
      </c>
      <c r="B40" t="s">
        <v>25</v>
      </c>
      <c r="C40" t="s">
        <v>19</v>
      </c>
      <c r="D40" s="2">
        <v>831.3</v>
      </c>
      <c r="E40" s="23">
        <v>102.98</v>
      </c>
      <c r="F40" s="23">
        <v>23.51</v>
      </c>
    </row>
    <row r="41" spans="1:6" ht="15.6" customHeight="1" x14ac:dyDescent="0.3">
      <c r="A41">
        <v>2023</v>
      </c>
      <c r="B41" t="s">
        <v>25</v>
      </c>
      <c r="C41" t="s">
        <v>19</v>
      </c>
      <c r="D41" s="2">
        <v>869.46</v>
      </c>
      <c r="E41" s="23">
        <v>130.82</v>
      </c>
      <c r="F41" s="23">
        <v>33.31</v>
      </c>
    </row>
    <row r="42" spans="1:6" ht="15.6" customHeight="1" x14ac:dyDescent="0.3">
      <c r="A42">
        <v>2024</v>
      </c>
      <c r="B42" t="s">
        <v>25</v>
      </c>
      <c r="C42" t="s">
        <v>19</v>
      </c>
      <c r="D42" s="2">
        <v>910.85</v>
      </c>
      <c r="E42" s="23">
        <v>151.78</v>
      </c>
      <c r="F42" s="23">
        <v>30.44</v>
      </c>
    </row>
    <row r="43" spans="1:6" ht="15.6" customHeight="1" x14ac:dyDescent="0.3">
      <c r="A43">
        <v>2025</v>
      </c>
      <c r="B43" t="s">
        <v>25</v>
      </c>
      <c r="C43" t="s">
        <v>19</v>
      </c>
      <c r="D43" s="2">
        <v>792.05</v>
      </c>
      <c r="E43" s="23">
        <v>117.95</v>
      </c>
      <c r="F43" s="23">
        <v>25.18</v>
      </c>
    </row>
    <row r="44" spans="1:6" ht="15.6" customHeight="1" x14ac:dyDescent="0.3">
      <c r="A44">
        <v>2020</v>
      </c>
      <c r="B44" t="s">
        <v>26</v>
      </c>
      <c r="C44" t="s">
        <v>19</v>
      </c>
      <c r="D44" s="2">
        <v>421.8</v>
      </c>
      <c r="E44" s="23">
        <v>17.48</v>
      </c>
      <c r="F44" s="23">
        <v>14.73</v>
      </c>
    </row>
    <row r="45" spans="1:6" ht="15.6" customHeight="1" x14ac:dyDescent="0.3">
      <c r="A45">
        <v>2021</v>
      </c>
      <c r="B45" t="s">
        <v>26</v>
      </c>
      <c r="C45" t="s">
        <v>19</v>
      </c>
      <c r="D45" s="2">
        <v>507.9</v>
      </c>
      <c r="E45" s="23">
        <v>19.64</v>
      </c>
      <c r="F45" s="23">
        <v>8.25</v>
      </c>
    </row>
    <row r="46" spans="1:6" ht="15.6" customHeight="1" x14ac:dyDescent="0.3">
      <c r="A46">
        <v>2022</v>
      </c>
      <c r="B46" t="s">
        <v>26</v>
      </c>
      <c r="C46" t="s">
        <v>19</v>
      </c>
      <c r="D46" s="2">
        <v>615</v>
      </c>
      <c r="E46" s="23">
        <v>14.64</v>
      </c>
      <c r="F46" s="23">
        <v>9.7200000000000006</v>
      </c>
    </row>
    <row r="47" spans="1:6" ht="15.6" customHeight="1" x14ac:dyDescent="0.3">
      <c r="A47">
        <v>2023</v>
      </c>
      <c r="B47" t="s">
        <v>26</v>
      </c>
      <c r="C47" t="s">
        <v>19</v>
      </c>
      <c r="D47" s="2">
        <v>661.3</v>
      </c>
      <c r="E47" s="23">
        <v>19.03</v>
      </c>
      <c r="F47" s="23">
        <v>8.11</v>
      </c>
    </row>
    <row r="48" spans="1:6" ht="15.6" customHeight="1" x14ac:dyDescent="0.3">
      <c r="A48">
        <v>2024</v>
      </c>
      <c r="B48" t="s">
        <v>26</v>
      </c>
      <c r="C48" t="s">
        <v>19</v>
      </c>
      <c r="D48" s="2">
        <v>733.1</v>
      </c>
      <c r="E48" s="23">
        <v>45.81</v>
      </c>
      <c r="F48" s="23">
        <v>8.25</v>
      </c>
    </row>
    <row r="49" spans="1:6" ht="15.6" customHeight="1" x14ac:dyDescent="0.3">
      <c r="A49">
        <v>2025</v>
      </c>
      <c r="B49" t="s">
        <v>26</v>
      </c>
      <c r="C49" t="s">
        <v>19</v>
      </c>
      <c r="D49" s="2">
        <v>574.9</v>
      </c>
      <c r="E49" s="23">
        <v>66.92</v>
      </c>
      <c r="F49" s="23">
        <v>9.75</v>
      </c>
    </row>
    <row r="50" spans="1:6" ht="15.6" customHeight="1" x14ac:dyDescent="0.3">
      <c r="A50">
        <v>2020</v>
      </c>
      <c r="B50" t="s">
        <v>27</v>
      </c>
      <c r="C50" t="s">
        <v>19</v>
      </c>
      <c r="D50" s="2">
        <v>331.5</v>
      </c>
      <c r="E50" s="23">
        <v>6.62</v>
      </c>
      <c r="F50" s="23">
        <v>2.37</v>
      </c>
    </row>
    <row r="51" spans="1:6" ht="15.6" customHeight="1" x14ac:dyDescent="0.3">
      <c r="A51">
        <v>2021</v>
      </c>
      <c r="B51" t="s">
        <v>27</v>
      </c>
      <c r="C51" t="s">
        <v>19</v>
      </c>
      <c r="D51" s="2">
        <v>419.4</v>
      </c>
      <c r="E51" s="23">
        <v>7.79</v>
      </c>
      <c r="F51" s="23">
        <v>4.5199999999999996</v>
      </c>
    </row>
    <row r="52" spans="1:6" ht="15.6" customHeight="1" x14ac:dyDescent="0.3">
      <c r="A52">
        <v>2022</v>
      </c>
      <c r="B52" t="s">
        <v>27</v>
      </c>
      <c r="C52" t="s">
        <v>19</v>
      </c>
      <c r="D52" s="2">
        <v>455.4</v>
      </c>
      <c r="E52" s="23">
        <v>8.65</v>
      </c>
      <c r="F52" s="23">
        <v>6.3</v>
      </c>
    </row>
    <row r="53" spans="1:6" ht="15.6" customHeight="1" x14ac:dyDescent="0.3">
      <c r="A53">
        <v>2023</v>
      </c>
      <c r="B53" t="s">
        <v>27</v>
      </c>
      <c r="C53" t="s">
        <v>19</v>
      </c>
      <c r="D53" s="2">
        <v>460.99</v>
      </c>
      <c r="E53" s="23">
        <v>13.57</v>
      </c>
      <c r="F53" s="23">
        <v>6.3</v>
      </c>
    </row>
    <row r="54" spans="1:6" ht="15.6" customHeight="1" x14ac:dyDescent="0.3">
      <c r="A54">
        <v>2024</v>
      </c>
      <c r="B54" t="s">
        <v>27</v>
      </c>
      <c r="C54" t="s">
        <v>19</v>
      </c>
      <c r="D54" s="2">
        <v>503.8</v>
      </c>
      <c r="E54" s="23">
        <v>14.13</v>
      </c>
      <c r="F54" s="23">
        <v>3.96</v>
      </c>
    </row>
    <row r="55" spans="1:6" ht="15.6" customHeight="1" x14ac:dyDescent="0.3">
      <c r="A55">
        <v>2025</v>
      </c>
      <c r="B55" t="s">
        <v>27</v>
      </c>
      <c r="C55" t="s">
        <v>19</v>
      </c>
      <c r="D55" s="2">
        <v>545.9</v>
      </c>
      <c r="E55" s="23">
        <v>17.190000000000001</v>
      </c>
      <c r="F55" s="23">
        <v>5.49</v>
      </c>
    </row>
    <row r="56" spans="1:6" ht="15.6" customHeight="1" x14ac:dyDescent="0.3">
      <c r="A56">
        <v>2020</v>
      </c>
      <c r="B56" t="s">
        <v>28</v>
      </c>
      <c r="C56" t="s">
        <v>19</v>
      </c>
      <c r="D56" s="2">
        <v>254.40199999999999</v>
      </c>
      <c r="E56" s="23">
        <v>7.77</v>
      </c>
      <c r="F56" s="23">
        <v>6.11</v>
      </c>
    </row>
    <row r="57" spans="1:6" ht="15.6" customHeight="1" x14ac:dyDescent="0.3">
      <c r="A57">
        <v>2021</v>
      </c>
      <c r="B57" t="s">
        <v>28</v>
      </c>
      <c r="C57" t="s">
        <v>19</v>
      </c>
      <c r="D57" s="2">
        <v>261</v>
      </c>
      <c r="E57" s="23">
        <v>8.15</v>
      </c>
      <c r="F57" s="23">
        <v>6.11</v>
      </c>
    </row>
    <row r="58" spans="1:6" ht="15.6" customHeight="1" x14ac:dyDescent="0.3">
      <c r="A58">
        <v>2022</v>
      </c>
      <c r="B58" t="s">
        <v>28</v>
      </c>
      <c r="C58" t="s">
        <v>19</v>
      </c>
      <c r="D58" s="2">
        <v>235.16</v>
      </c>
      <c r="E58" s="23">
        <v>9.3800000000000008</v>
      </c>
      <c r="F58" s="23">
        <v>6.14</v>
      </c>
    </row>
    <row r="59" spans="1:6" ht="15.6" customHeight="1" x14ac:dyDescent="0.3">
      <c r="A59">
        <v>2023</v>
      </c>
      <c r="B59" t="s">
        <v>28</v>
      </c>
      <c r="C59" t="s">
        <v>19</v>
      </c>
      <c r="D59" s="2">
        <v>213.78700000000001</v>
      </c>
      <c r="E59" s="23">
        <v>11.03</v>
      </c>
      <c r="F59" s="23">
        <v>6.43</v>
      </c>
    </row>
    <row r="60" spans="1:6" ht="15.6" customHeight="1" x14ac:dyDescent="0.3">
      <c r="A60">
        <v>2024</v>
      </c>
      <c r="B60" t="s">
        <v>28</v>
      </c>
      <c r="C60" t="s">
        <v>19</v>
      </c>
      <c r="D60" s="2">
        <v>339.8</v>
      </c>
      <c r="E60" s="23">
        <v>16.47</v>
      </c>
      <c r="F60" s="23">
        <v>6.43</v>
      </c>
    </row>
    <row r="61" spans="1:6" ht="15.6" customHeight="1" x14ac:dyDescent="0.3">
      <c r="A61">
        <v>2025</v>
      </c>
      <c r="B61" t="s">
        <v>28</v>
      </c>
      <c r="C61" t="s">
        <v>19</v>
      </c>
      <c r="D61" s="2">
        <v>455.3</v>
      </c>
      <c r="E61" s="23">
        <v>21.9</v>
      </c>
      <c r="F61" s="23">
        <v>8.82</v>
      </c>
    </row>
    <row r="62" spans="1:6" ht="15.6" customHeight="1" x14ac:dyDescent="0.3">
      <c r="A62">
        <v>2020</v>
      </c>
      <c r="B62" t="s">
        <v>29</v>
      </c>
      <c r="C62" t="s">
        <v>19</v>
      </c>
      <c r="D62" s="2">
        <v>195.36</v>
      </c>
      <c r="E62" s="23">
        <v>9.31</v>
      </c>
      <c r="F62" s="23">
        <v>2.62</v>
      </c>
    </row>
    <row r="63" spans="1:6" ht="15.6" customHeight="1" x14ac:dyDescent="0.3">
      <c r="A63">
        <v>2021</v>
      </c>
      <c r="B63" t="s">
        <v>29</v>
      </c>
      <c r="C63" t="s">
        <v>19</v>
      </c>
      <c r="D63" s="2">
        <v>173.42</v>
      </c>
      <c r="E63" s="23">
        <v>10.85</v>
      </c>
      <c r="F63" s="23">
        <v>3.21</v>
      </c>
    </row>
    <row r="64" spans="1:6" ht="15.6" customHeight="1" x14ac:dyDescent="0.3">
      <c r="A64">
        <v>2022</v>
      </c>
      <c r="B64" t="s">
        <v>29</v>
      </c>
      <c r="C64" t="s">
        <v>19</v>
      </c>
      <c r="D64" s="2">
        <v>215.774</v>
      </c>
      <c r="E64" s="23">
        <v>10.56</v>
      </c>
      <c r="F64" s="23">
        <v>3.21</v>
      </c>
    </row>
    <row r="65" spans="1:6" ht="15.6" customHeight="1" x14ac:dyDescent="0.3">
      <c r="A65">
        <v>2023</v>
      </c>
      <c r="B65" t="s">
        <v>29</v>
      </c>
      <c r="C65" t="s">
        <v>19</v>
      </c>
      <c r="D65" s="2">
        <v>191.4</v>
      </c>
      <c r="E65" s="23">
        <v>9.99</v>
      </c>
      <c r="F65" s="23">
        <v>3.69</v>
      </c>
    </row>
    <row r="66" spans="1:6" ht="15.6" customHeight="1" x14ac:dyDescent="0.3">
      <c r="A66">
        <v>2024</v>
      </c>
      <c r="B66" t="s">
        <v>29</v>
      </c>
      <c r="C66" t="s">
        <v>19</v>
      </c>
      <c r="D66" s="2">
        <v>293.89999999999998</v>
      </c>
      <c r="E66" s="23">
        <v>19.5</v>
      </c>
      <c r="F66" s="23">
        <v>3.69</v>
      </c>
    </row>
    <row r="67" spans="1:6" ht="15.6" customHeight="1" x14ac:dyDescent="0.3">
      <c r="A67">
        <v>2025</v>
      </c>
      <c r="B67" t="s">
        <v>29</v>
      </c>
      <c r="C67" t="s">
        <v>19</v>
      </c>
      <c r="D67" s="2">
        <v>355.9</v>
      </c>
      <c r="E67" s="23">
        <v>23.81</v>
      </c>
      <c r="F67" s="23">
        <v>9.31</v>
      </c>
    </row>
    <row r="68" spans="1:6" ht="15.6" customHeight="1" x14ac:dyDescent="0.3">
      <c r="A68">
        <v>2020</v>
      </c>
      <c r="B68" t="s">
        <v>30</v>
      </c>
      <c r="C68" t="s">
        <v>19</v>
      </c>
      <c r="D68" s="2">
        <v>199.75</v>
      </c>
      <c r="E68" s="23">
        <v>10.7</v>
      </c>
      <c r="F68" s="23">
        <v>0</v>
      </c>
    </row>
    <row r="69" spans="1:6" ht="15.6" customHeight="1" x14ac:dyDescent="0.3">
      <c r="A69">
        <v>2021</v>
      </c>
      <c r="B69" t="s">
        <v>30</v>
      </c>
      <c r="C69" t="s">
        <v>19</v>
      </c>
      <c r="D69" s="2">
        <v>255.91</v>
      </c>
      <c r="E69" s="23">
        <v>33.840000000000003</v>
      </c>
      <c r="F69" s="23">
        <v>0</v>
      </c>
    </row>
    <row r="70" spans="1:6" ht="15.6" customHeight="1" x14ac:dyDescent="0.3">
      <c r="A70">
        <v>2022</v>
      </c>
      <c r="B70" t="s">
        <v>30</v>
      </c>
      <c r="C70" t="s">
        <v>19</v>
      </c>
      <c r="D70" s="2">
        <v>236.92</v>
      </c>
      <c r="E70" s="23">
        <v>23.45</v>
      </c>
      <c r="F70" s="23">
        <v>0</v>
      </c>
    </row>
    <row r="71" spans="1:6" ht="15.6" customHeight="1" x14ac:dyDescent="0.3">
      <c r="A71">
        <v>2023</v>
      </c>
      <c r="B71" t="s">
        <v>30</v>
      </c>
      <c r="C71" t="s">
        <v>19</v>
      </c>
      <c r="D71" s="2">
        <v>240.84299999999999</v>
      </c>
      <c r="E71" s="23">
        <v>43.54</v>
      </c>
      <c r="F71" s="23">
        <v>0</v>
      </c>
    </row>
    <row r="72" spans="1:6" ht="15.6" customHeight="1" x14ac:dyDescent="0.3">
      <c r="A72">
        <v>2024</v>
      </c>
      <c r="B72" t="s">
        <v>30</v>
      </c>
      <c r="C72" t="s">
        <v>19</v>
      </c>
      <c r="D72" s="2">
        <v>267.2</v>
      </c>
      <c r="E72" s="23">
        <v>78.05</v>
      </c>
      <c r="F72" s="23">
        <v>5.29</v>
      </c>
    </row>
    <row r="73" spans="1:6" ht="15.6" customHeight="1" x14ac:dyDescent="0.3">
      <c r="A73">
        <v>2025</v>
      </c>
      <c r="B73" t="s">
        <v>30</v>
      </c>
      <c r="C73" t="s">
        <v>19</v>
      </c>
      <c r="D73" s="2">
        <v>295.60000000000002</v>
      </c>
      <c r="E73" s="23">
        <v>69.650000000000006</v>
      </c>
      <c r="F73" s="23">
        <v>11.3</v>
      </c>
    </row>
    <row r="74" spans="1:6" ht="15.6" customHeight="1" x14ac:dyDescent="0.3">
      <c r="A74">
        <v>2020</v>
      </c>
      <c r="B74" t="s">
        <v>31</v>
      </c>
      <c r="C74" t="s">
        <v>19</v>
      </c>
      <c r="D74" s="2">
        <v>442.76</v>
      </c>
      <c r="E74" s="23">
        <v>20.350000000000001</v>
      </c>
      <c r="F74" s="23">
        <v>16.239999999999998</v>
      </c>
    </row>
    <row r="75" spans="1:6" ht="15.6" customHeight="1" x14ac:dyDescent="0.3">
      <c r="A75">
        <v>2021</v>
      </c>
      <c r="B75" t="s">
        <v>31</v>
      </c>
      <c r="C75" t="s">
        <v>19</v>
      </c>
      <c r="D75" s="2">
        <v>534.16300000000001</v>
      </c>
      <c r="E75" s="23">
        <v>31.01</v>
      </c>
      <c r="F75" s="23">
        <v>23.39</v>
      </c>
    </row>
    <row r="76" spans="1:6" ht="15.6" customHeight="1" x14ac:dyDescent="0.3">
      <c r="A76">
        <v>2022</v>
      </c>
      <c r="B76" t="s">
        <v>31</v>
      </c>
      <c r="C76" t="s">
        <v>19</v>
      </c>
      <c r="D76" s="2">
        <v>634.38</v>
      </c>
      <c r="E76" s="23">
        <v>39.270000000000003</v>
      </c>
      <c r="F76" s="23">
        <v>29.66</v>
      </c>
    </row>
    <row r="77" spans="1:6" ht="15.6" customHeight="1" x14ac:dyDescent="0.3">
      <c r="A77">
        <v>2023</v>
      </c>
      <c r="B77" t="s">
        <v>31</v>
      </c>
      <c r="C77" t="s">
        <v>19</v>
      </c>
      <c r="D77" s="2">
        <v>849.5</v>
      </c>
      <c r="E77" s="23">
        <v>50.24</v>
      </c>
      <c r="F77" s="23">
        <v>42.01</v>
      </c>
    </row>
    <row r="78" spans="1:6" ht="15.6" customHeight="1" x14ac:dyDescent="0.3">
      <c r="A78">
        <v>2024</v>
      </c>
      <c r="B78" t="s">
        <v>31</v>
      </c>
      <c r="C78" t="s">
        <v>19</v>
      </c>
      <c r="D78" s="2">
        <v>712.8</v>
      </c>
      <c r="E78" s="23">
        <v>82.55</v>
      </c>
      <c r="F78" s="23">
        <v>84.42</v>
      </c>
    </row>
    <row r="79" spans="1:6" ht="15.6" customHeight="1" x14ac:dyDescent="0.3">
      <c r="A79">
        <v>2025</v>
      </c>
      <c r="B79" t="s">
        <v>31</v>
      </c>
      <c r="C79" t="s">
        <v>19</v>
      </c>
      <c r="D79" s="2">
        <v>825.3</v>
      </c>
      <c r="E79" s="23">
        <v>132.83000000000001</v>
      </c>
      <c r="F79" s="23">
        <v>132.02000000000001</v>
      </c>
    </row>
    <row r="80" spans="1:6" ht="15.6" customHeight="1" x14ac:dyDescent="0.3">
      <c r="A80">
        <v>2020</v>
      </c>
      <c r="B80" t="s">
        <v>32</v>
      </c>
      <c r="C80" t="s">
        <v>19</v>
      </c>
      <c r="D80" s="2">
        <v>129.06</v>
      </c>
      <c r="E80" s="23">
        <v>12.37</v>
      </c>
      <c r="F80" s="23">
        <v>0.252</v>
      </c>
    </row>
    <row r="81" spans="1:6" ht="15.6" customHeight="1" x14ac:dyDescent="0.3">
      <c r="A81">
        <v>2021</v>
      </c>
      <c r="B81" t="s">
        <v>32</v>
      </c>
      <c r="C81" t="s">
        <v>19</v>
      </c>
      <c r="D81" s="2">
        <v>131.16999999999999</v>
      </c>
      <c r="E81" s="23">
        <v>12.15</v>
      </c>
      <c r="F81" s="23">
        <v>2.63</v>
      </c>
    </row>
    <row r="82" spans="1:6" ht="15.6" customHeight="1" x14ac:dyDescent="0.3">
      <c r="A82">
        <v>2022</v>
      </c>
      <c r="B82" t="s">
        <v>32</v>
      </c>
      <c r="C82" t="s">
        <v>19</v>
      </c>
      <c r="D82" s="2">
        <v>134.91</v>
      </c>
      <c r="E82" s="23">
        <v>12.16</v>
      </c>
      <c r="F82" s="23">
        <v>3.05</v>
      </c>
    </row>
    <row r="83" spans="1:6" ht="15.6" customHeight="1" x14ac:dyDescent="0.3">
      <c r="A83">
        <v>2023</v>
      </c>
      <c r="B83" t="s">
        <v>32</v>
      </c>
      <c r="C83" t="s">
        <v>19</v>
      </c>
      <c r="D83" s="2">
        <v>109.7</v>
      </c>
      <c r="E83" s="23">
        <v>13.7</v>
      </c>
      <c r="F83" s="23">
        <v>0.56999999999999995</v>
      </c>
    </row>
    <row r="84" spans="1:6" ht="15.6" customHeight="1" x14ac:dyDescent="0.3">
      <c r="A84">
        <v>2024</v>
      </c>
      <c r="B84" t="s">
        <v>32</v>
      </c>
      <c r="C84" t="s">
        <v>19</v>
      </c>
      <c r="D84" s="2">
        <v>161.6</v>
      </c>
      <c r="E84" s="23">
        <v>9.43</v>
      </c>
      <c r="F84" s="23">
        <v>0.09</v>
      </c>
    </row>
    <row r="85" spans="1:6" ht="15.6" customHeight="1" x14ac:dyDescent="0.3">
      <c r="A85">
        <v>2025</v>
      </c>
      <c r="B85" t="s">
        <v>32</v>
      </c>
      <c r="C85" t="s">
        <v>19</v>
      </c>
      <c r="D85" s="2">
        <v>159.6</v>
      </c>
      <c r="E85" s="23">
        <v>12.29</v>
      </c>
      <c r="F85" s="23">
        <v>7.0000000000000001E-3</v>
      </c>
    </row>
    <row r="86" spans="1:6" ht="15.6" customHeight="1" x14ac:dyDescent="0.3">
      <c r="A86">
        <v>2020</v>
      </c>
      <c r="B86" t="s">
        <v>33</v>
      </c>
      <c r="C86" t="s">
        <v>19</v>
      </c>
      <c r="D86" s="2">
        <v>76.400000000000006</v>
      </c>
      <c r="E86" s="23">
        <v>0.28999999999999998</v>
      </c>
      <c r="F86" s="23">
        <v>0.11700000000000001</v>
      </c>
    </row>
    <row r="87" spans="1:6" ht="15.6" customHeight="1" x14ac:dyDescent="0.3">
      <c r="A87">
        <v>2021</v>
      </c>
      <c r="B87" t="s">
        <v>33</v>
      </c>
      <c r="C87" t="s">
        <v>19</v>
      </c>
      <c r="D87" s="2">
        <v>73.022999999999996</v>
      </c>
      <c r="E87" s="23">
        <v>0.27</v>
      </c>
      <c r="F87" s="23">
        <v>0.63200000000000001</v>
      </c>
    </row>
    <row r="88" spans="1:6" ht="15.6" customHeight="1" x14ac:dyDescent="0.3">
      <c r="A88">
        <v>2022</v>
      </c>
      <c r="B88" t="s">
        <v>33</v>
      </c>
      <c r="C88" t="s">
        <v>19</v>
      </c>
      <c r="D88" s="2">
        <v>70.89</v>
      </c>
      <c r="E88" s="23">
        <v>0.21</v>
      </c>
      <c r="F88" s="23">
        <v>0.55600000000000005</v>
      </c>
    </row>
    <row r="89" spans="1:6" ht="15.6" customHeight="1" x14ac:dyDescent="0.3">
      <c r="A89">
        <v>2023</v>
      </c>
      <c r="B89" t="s">
        <v>33</v>
      </c>
      <c r="C89" t="s">
        <v>19</v>
      </c>
      <c r="D89" s="2">
        <v>77.510000000000005</v>
      </c>
      <c r="E89" s="23">
        <v>0.13</v>
      </c>
      <c r="F89" s="23">
        <v>0.61199999999999999</v>
      </c>
    </row>
    <row r="90" spans="1:6" ht="15.6" customHeight="1" x14ac:dyDescent="0.3">
      <c r="A90">
        <v>2024</v>
      </c>
      <c r="B90" t="s">
        <v>33</v>
      </c>
      <c r="C90" t="s">
        <v>19</v>
      </c>
      <c r="D90" s="2">
        <v>98.96</v>
      </c>
      <c r="E90" s="23">
        <v>0.21</v>
      </c>
      <c r="F90" s="23">
        <v>1.25</v>
      </c>
    </row>
    <row r="91" spans="1:6" ht="15.6" customHeight="1" x14ac:dyDescent="0.3">
      <c r="A91">
        <v>2025</v>
      </c>
      <c r="B91" t="s">
        <v>33</v>
      </c>
      <c r="C91" t="s">
        <v>19</v>
      </c>
      <c r="D91" s="2">
        <v>170.5</v>
      </c>
      <c r="E91" s="23">
        <v>0.84</v>
      </c>
      <c r="F91" s="23">
        <v>2.92</v>
      </c>
    </row>
    <row r="92" spans="1:6" ht="15.6" customHeight="1" x14ac:dyDescent="0.3">
      <c r="A92">
        <v>2020</v>
      </c>
      <c r="B92" t="s">
        <v>34</v>
      </c>
      <c r="C92" t="s">
        <v>19</v>
      </c>
      <c r="D92" s="2">
        <v>12.528</v>
      </c>
      <c r="E92" s="23">
        <v>0.08</v>
      </c>
      <c r="F92" s="23">
        <v>0</v>
      </c>
    </row>
    <row r="93" spans="1:6" ht="15.6" customHeight="1" x14ac:dyDescent="0.3">
      <c r="A93">
        <v>2021</v>
      </c>
      <c r="B93" t="s">
        <v>34</v>
      </c>
      <c r="C93" t="s">
        <v>19</v>
      </c>
      <c r="D93" s="2">
        <v>12.045</v>
      </c>
      <c r="E93" s="23">
        <v>0.19</v>
      </c>
      <c r="F93" s="23">
        <v>0</v>
      </c>
    </row>
    <row r="94" spans="1:6" ht="15.6" customHeight="1" x14ac:dyDescent="0.3">
      <c r="A94">
        <v>2022</v>
      </c>
      <c r="B94" t="s">
        <v>34</v>
      </c>
      <c r="C94" t="s">
        <v>19</v>
      </c>
      <c r="D94" s="2">
        <v>13.78</v>
      </c>
      <c r="E94" s="23">
        <v>7.0000000000000007E-2</v>
      </c>
      <c r="F94" s="23">
        <v>0</v>
      </c>
    </row>
    <row r="95" spans="1:6" ht="15.6" customHeight="1" x14ac:dyDescent="0.3">
      <c r="A95">
        <v>2023</v>
      </c>
      <c r="B95" t="s">
        <v>34</v>
      </c>
      <c r="C95" t="s">
        <v>19</v>
      </c>
      <c r="D95" s="2">
        <v>8.4440000000000008</v>
      </c>
      <c r="E95" s="23">
        <v>0.02</v>
      </c>
      <c r="F95" s="23">
        <v>0</v>
      </c>
    </row>
    <row r="96" spans="1:6" ht="15.6" customHeight="1" x14ac:dyDescent="0.3">
      <c r="A96">
        <v>2024</v>
      </c>
      <c r="B96" t="s">
        <v>34</v>
      </c>
      <c r="C96" t="s">
        <v>19</v>
      </c>
      <c r="D96" s="2">
        <v>10.37</v>
      </c>
      <c r="E96" s="23">
        <v>0.02</v>
      </c>
      <c r="F96" s="23">
        <v>0</v>
      </c>
    </row>
    <row r="97" spans="1:6" ht="15.6" customHeight="1" x14ac:dyDescent="0.3">
      <c r="A97">
        <v>2025</v>
      </c>
      <c r="B97" t="s">
        <v>34</v>
      </c>
      <c r="C97" t="s">
        <v>19</v>
      </c>
      <c r="D97" s="2">
        <v>11.6</v>
      </c>
      <c r="E97" s="23">
        <v>1.04E-2</v>
      </c>
      <c r="F97" s="23">
        <v>0</v>
      </c>
    </row>
    <row r="98" spans="1:6" ht="15.6" customHeight="1" x14ac:dyDescent="0.3">
      <c r="A98">
        <v>2020</v>
      </c>
      <c r="B98" t="s">
        <v>35</v>
      </c>
      <c r="C98" t="s">
        <v>36</v>
      </c>
      <c r="D98" s="2">
        <v>512.53</v>
      </c>
      <c r="E98" s="23">
        <v>23.87</v>
      </c>
      <c r="F98" s="23">
        <v>5.3999999999999999E-2</v>
      </c>
    </row>
    <row r="99" spans="1:6" ht="15.6" customHeight="1" x14ac:dyDescent="0.3">
      <c r="A99">
        <v>2021</v>
      </c>
      <c r="B99" t="s">
        <v>35</v>
      </c>
      <c r="C99" t="s">
        <v>36</v>
      </c>
      <c r="D99" s="2">
        <v>777.02</v>
      </c>
      <c r="E99" s="23">
        <v>29.94</v>
      </c>
      <c r="F99" s="23">
        <v>2.17</v>
      </c>
    </row>
    <row r="100" spans="1:6" ht="15.6" customHeight="1" x14ac:dyDescent="0.3">
      <c r="A100">
        <v>2022</v>
      </c>
      <c r="B100" t="s">
        <v>35</v>
      </c>
      <c r="C100" t="s">
        <v>36</v>
      </c>
      <c r="D100" s="2">
        <v>1018.1</v>
      </c>
      <c r="E100" s="23">
        <v>41.08</v>
      </c>
      <c r="F100" s="23">
        <v>3.25</v>
      </c>
    </row>
    <row r="101" spans="1:6" ht="15.6" customHeight="1" x14ac:dyDescent="0.3">
      <c r="A101">
        <v>2023</v>
      </c>
      <c r="B101" t="s">
        <v>35</v>
      </c>
      <c r="C101" t="s">
        <v>36</v>
      </c>
      <c r="D101" s="2">
        <v>992</v>
      </c>
      <c r="E101" s="23">
        <v>45.99</v>
      </c>
      <c r="F101" s="23">
        <v>43.16</v>
      </c>
    </row>
    <row r="102" spans="1:6" ht="15.6" customHeight="1" x14ac:dyDescent="0.3">
      <c r="A102">
        <v>2024</v>
      </c>
      <c r="B102" t="s">
        <v>35</v>
      </c>
      <c r="C102" t="s">
        <v>36</v>
      </c>
      <c r="D102" s="2">
        <v>1556.4</v>
      </c>
      <c r="E102" s="23">
        <v>87.02</v>
      </c>
      <c r="F102" s="23">
        <v>55.35</v>
      </c>
    </row>
    <row r="103" spans="1:6" ht="15.6" customHeight="1" x14ac:dyDescent="0.3">
      <c r="A103">
        <v>2025</v>
      </c>
      <c r="B103" t="s">
        <v>35</v>
      </c>
      <c r="C103" t="s">
        <v>36</v>
      </c>
      <c r="D103" s="2">
        <v>1686.3</v>
      </c>
      <c r="E103" s="23">
        <v>108.14</v>
      </c>
      <c r="F103" s="23">
        <v>212.82</v>
      </c>
    </row>
    <row r="104" spans="1:6" ht="15.6" customHeight="1" x14ac:dyDescent="0.3">
      <c r="A104">
        <v>2020</v>
      </c>
      <c r="B104" t="s">
        <v>37</v>
      </c>
      <c r="C104" t="s">
        <v>36</v>
      </c>
      <c r="D104" s="2">
        <v>145.33799999999999</v>
      </c>
      <c r="E104" s="23">
        <v>8.65</v>
      </c>
      <c r="F104" s="23">
        <v>0.96</v>
      </c>
    </row>
    <row r="105" spans="1:6" ht="15.6" customHeight="1" x14ac:dyDescent="0.3">
      <c r="A105">
        <v>2021</v>
      </c>
      <c r="B105" t="s">
        <v>37</v>
      </c>
      <c r="C105" t="s">
        <v>36</v>
      </c>
      <c r="D105" s="2">
        <v>179.31</v>
      </c>
      <c r="E105" s="23">
        <v>11.38</v>
      </c>
      <c r="F105" s="23">
        <v>2.17</v>
      </c>
    </row>
    <row r="106" spans="1:6" ht="15.6" customHeight="1" x14ac:dyDescent="0.3">
      <c r="A106">
        <v>2022</v>
      </c>
      <c r="B106" t="s">
        <v>37</v>
      </c>
      <c r="C106" t="s">
        <v>36</v>
      </c>
      <c r="D106" s="2">
        <v>220.34100000000001</v>
      </c>
      <c r="E106" s="23">
        <v>16.84</v>
      </c>
      <c r="F106" s="23">
        <v>2.61</v>
      </c>
    </row>
    <row r="107" spans="1:6" ht="15.6" customHeight="1" x14ac:dyDescent="0.3">
      <c r="A107">
        <v>2023</v>
      </c>
      <c r="B107" t="s">
        <v>37</v>
      </c>
      <c r="C107" t="s">
        <v>36</v>
      </c>
      <c r="D107" s="2">
        <v>248.36</v>
      </c>
      <c r="E107" s="23">
        <v>21.95</v>
      </c>
      <c r="F107" s="23">
        <v>9.2100000000000009</v>
      </c>
    </row>
    <row r="108" spans="1:6" ht="15.6" customHeight="1" x14ac:dyDescent="0.3">
      <c r="A108">
        <v>2024</v>
      </c>
      <c r="B108" t="s">
        <v>37</v>
      </c>
      <c r="C108" t="s">
        <v>36</v>
      </c>
      <c r="D108" s="2">
        <v>327.185</v>
      </c>
      <c r="E108" s="23">
        <v>26.22</v>
      </c>
      <c r="F108" s="23">
        <v>9.74</v>
      </c>
    </row>
    <row r="109" spans="1:6" ht="15.6" customHeight="1" x14ac:dyDescent="0.3">
      <c r="A109">
        <v>2025</v>
      </c>
      <c r="B109" t="s">
        <v>37</v>
      </c>
      <c r="C109" t="s">
        <v>36</v>
      </c>
      <c r="D109" s="2">
        <v>322.2</v>
      </c>
      <c r="E109" s="23">
        <v>41.08</v>
      </c>
      <c r="F109" s="23">
        <v>10.15</v>
      </c>
    </row>
    <row r="110" spans="1:6" ht="15.6" customHeight="1" x14ac:dyDescent="0.3">
      <c r="A110">
        <v>2020</v>
      </c>
      <c r="B110" t="s">
        <v>38</v>
      </c>
      <c r="C110" t="s">
        <v>36</v>
      </c>
      <c r="D110" s="2">
        <v>204.41</v>
      </c>
      <c r="E110" s="23">
        <v>5.57</v>
      </c>
      <c r="F110" s="23">
        <v>0.30299999999999999</v>
      </c>
    </row>
    <row r="111" spans="1:6" ht="15.6" customHeight="1" x14ac:dyDescent="0.3">
      <c r="A111">
        <v>2021</v>
      </c>
      <c r="B111" t="s">
        <v>38</v>
      </c>
      <c r="C111" t="s">
        <v>36</v>
      </c>
      <c r="D111" s="2">
        <v>232</v>
      </c>
      <c r="E111" s="23">
        <v>3.77</v>
      </c>
      <c r="F111" s="23">
        <v>2.726</v>
      </c>
    </row>
    <row r="112" spans="1:6" ht="15.6" customHeight="1" x14ac:dyDescent="0.3">
      <c r="A112">
        <v>2022</v>
      </c>
      <c r="B112" t="s">
        <v>38</v>
      </c>
      <c r="C112" t="s">
        <v>36</v>
      </c>
      <c r="D112" s="2">
        <v>259.27999999999997</v>
      </c>
      <c r="E112" s="23">
        <v>4.76</v>
      </c>
      <c r="F112" s="23">
        <v>1.48</v>
      </c>
    </row>
    <row r="113" spans="1:6" ht="15.6" customHeight="1" x14ac:dyDescent="0.3">
      <c r="A113">
        <v>2023</v>
      </c>
      <c r="B113" t="s">
        <v>38</v>
      </c>
      <c r="C113" t="s">
        <v>36</v>
      </c>
      <c r="D113" s="2">
        <v>261.77</v>
      </c>
      <c r="E113" s="23">
        <v>7.07</v>
      </c>
      <c r="F113" s="23">
        <v>1.0249999999999999</v>
      </c>
    </row>
    <row r="114" spans="1:6" ht="15.6" customHeight="1" x14ac:dyDescent="0.3">
      <c r="A114">
        <v>2024</v>
      </c>
      <c r="B114" t="s">
        <v>38</v>
      </c>
      <c r="C114" t="s">
        <v>36</v>
      </c>
      <c r="D114" s="2">
        <v>224</v>
      </c>
      <c r="E114" s="23">
        <v>10.5</v>
      </c>
      <c r="F114" s="23">
        <v>1.0249999999999999</v>
      </c>
    </row>
    <row r="115" spans="1:6" ht="15.6" customHeight="1" x14ac:dyDescent="0.3">
      <c r="A115">
        <v>2025</v>
      </c>
      <c r="B115" t="s">
        <v>38</v>
      </c>
      <c r="C115" t="s">
        <v>36</v>
      </c>
      <c r="D115" s="2">
        <v>237.3</v>
      </c>
      <c r="E115" s="23">
        <v>10.02</v>
      </c>
      <c r="F115" s="23">
        <v>8.8999999999999996E-2</v>
      </c>
    </row>
    <row r="116" spans="1:6" ht="15.6" customHeight="1" x14ac:dyDescent="0.3">
      <c r="A116">
        <v>2020</v>
      </c>
      <c r="B116" t="s">
        <v>39</v>
      </c>
      <c r="C116" t="s">
        <v>36</v>
      </c>
      <c r="D116" s="2">
        <v>99.7</v>
      </c>
      <c r="E116" s="23">
        <v>3.24</v>
      </c>
      <c r="F116" s="23">
        <v>0.24</v>
      </c>
    </row>
    <row r="117" spans="1:6" ht="15.6" customHeight="1" x14ac:dyDescent="0.3">
      <c r="A117">
        <v>2021</v>
      </c>
      <c r="B117" t="s">
        <v>39</v>
      </c>
      <c r="C117" t="s">
        <v>36</v>
      </c>
      <c r="D117" s="2">
        <v>105.623</v>
      </c>
      <c r="E117" s="23">
        <v>1.71</v>
      </c>
      <c r="F117" s="23">
        <v>0.36399999999999999</v>
      </c>
    </row>
    <row r="118" spans="1:6" ht="15.6" customHeight="1" x14ac:dyDescent="0.3">
      <c r="A118">
        <v>2022</v>
      </c>
      <c r="B118" t="s">
        <v>39</v>
      </c>
      <c r="C118" t="s">
        <v>36</v>
      </c>
      <c r="D118" s="2">
        <v>96.194000000000003</v>
      </c>
      <c r="E118" s="23">
        <v>2.75</v>
      </c>
      <c r="F118" s="23">
        <v>0.32300000000000001</v>
      </c>
    </row>
    <row r="119" spans="1:6" ht="15.6" customHeight="1" x14ac:dyDescent="0.3">
      <c r="A119">
        <v>2023</v>
      </c>
      <c r="B119" t="s">
        <v>39</v>
      </c>
      <c r="C119" t="s">
        <v>36</v>
      </c>
      <c r="D119" s="2">
        <v>90.3</v>
      </c>
      <c r="E119" s="23">
        <v>3.11</v>
      </c>
      <c r="F119" s="23">
        <v>0.5</v>
      </c>
    </row>
    <row r="120" spans="1:6" ht="15.6" customHeight="1" x14ac:dyDescent="0.3">
      <c r="A120">
        <v>2024</v>
      </c>
      <c r="B120" t="s">
        <v>39</v>
      </c>
      <c r="C120" t="s">
        <v>36</v>
      </c>
      <c r="D120" s="2">
        <v>115</v>
      </c>
      <c r="E120" s="23">
        <v>9.49</v>
      </c>
      <c r="F120" s="23">
        <v>0.81899999999999995</v>
      </c>
    </row>
    <row r="121" spans="1:6" ht="15.6" customHeight="1" x14ac:dyDescent="0.3">
      <c r="A121">
        <v>2025</v>
      </c>
      <c r="B121" t="s">
        <v>39</v>
      </c>
      <c r="C121" t="s">
        <v>36</v>
      </c>
      <c r="D121" s="2">
        <v>148.19999999999999</v>
      </c>
      <c r="E121" s="23">
        <v>11.4</v>
      </c>
      <c r="F121" s="23">
        <v>4.22</v>
      </c>
    </row>
    <row r="122" spans="1:6" ht="15.6" customHeight="1" x14ac:dyDescent="0.3">
      <c r="A122">
        <v>2020</v>
      </c>
      <c r="B122" t="s">
        <v>40</v>
      </c>
      <c r="C122" t="s">
        <v>36</v>
      </c>
      <c r="D122" s="2">
        <v>310</v>
      </c>
      <c r="E122" s="23">
        <v>26.31</v>
      </c>
      <c r="F122" s="23">
        <v>13.22</v>
      </c>
    </row>
    <row r="123" spans="1:6" ht="15.6" customHeight="1" x14ac:dyDescent="0.3">
      <c r="A123">
        <v>2021</v>
      </c>
      <c r="B123" t="s">
        <v>40</v>
      </c>
      <c r="C123" t="s">
        <v>36</v>
      </c>
      <c r="D123" s="2">
        <v>416.8</v>
      </c>
      <c r="E123" s="23">
        <v>15.76</v>
      </c>
      <c r="F123" s="23">
        <v>42.38</v>
      </c>
    </row>
    <row r="124" spans="1:6" ht="15.6" customHeight="1" x14ac:dyDescent="0.3">
      <c r="A124">
        <v>2022</v>
      </c>
      <c r="B124" t="s">
        <v>40</v>
      </c>
      <c r="C124" t="s">
        <v>36</v>
      </c>
      <c r="D124" s="2">
        <v>473.6</v>
      </c>
      <c r="E124" s="23">
        <v>7.93</v>
      </c>
      <c r="F124" s="23">
        <v>40.81</v>
      </c>
    </row>
    <row r="125" spans="1:6" ht="15.6" customHeight="1" x14ac:dyDescent="0.3">
      <c r="A125">
        <v>2023</v>
      </c>
      <c r="B125" t="s">
        <v>40</v>
      </c>
      <c r="C125" t="s">
        <v>36</v>
      </c>
      <c r="D125" s="2">
        <v>601</v>
      </c>
      <c r="E125" s="23">
        <v>21.1</v>
      </c>
      <c r="F125" s="23">
        <v>125.04</v>
      </c>
    </row>
    <row r="126" spans="1:6" ht="15.6" customHeight="1" x14ac:dyDescent="0.3">
      <c r="A126">
        <v>2024</v>
      </c>
      <c r="B126" t="s">
        <v>40</v>
      </c>
      <c r="C126" t="s">
        <v>36</v>
      </c>
      <c r="D126" s="2">
        <v>675</v>
      </c>
      <c r="E126" s="23">
        <v>28.25</v>
      </c>
      <c r="F126" s="23">
        <v>66.66</v>
      </c>
    </row>
    <row r="127" spans="1:6" ht="15.6" customHeight="1" x14ac:dyDescent="0.3">
      <c r="A127">
        <v>2025</v>
      </c>
      <c r="B127" t="s">
        <v>40</v>
      </c>
      <c r="C127" t="s">
        <v>36</v>
      </c>
      <c r="D127" s="2">
        <v>907</v>
      </c>
      <c r="E127" s="23">
        <v>35.83</v>
      </c>
      <c r="F127" s="23">
        <v>110.6</v>
      </c>
    </row>
    <row r="128" spans="1:6" ht="15.6" customHeight="1" x14ac:dyDescent="0.3">
      <c r="A128">
        <v>2020</v>
      </c>
      <c r="B128" t="s">
        <v>41</v>
      </c>
      <c r="C128" t="s">
        <v>36</v>
      </c>
      <c r="D128" s="2">
        <v>58.920999999999999</v>
      </c>
      <c r="E128" s="23">
        <v>0.24</v>
      </c>
      <c r="F128" s="23">
        <v>0</v>
      </c>
    </row>
    <row r="129" spans="1:6" ht="15.6" customHeight="1" x14ac:dyDescent="0.3">
      <c r="A129">
        <v>2021</v>
      </c>
      <c r="B129" t="s">
        <v>41</v>
      </c>
      <c r="C129" t="s">
        <v>36</v>
      </c>
      <c r="D129" s="2">
        <v>59.81</v>
      </c>
      <c r="E129" s="23">
        <v>0.47</v>
      </c>
      <c r="F129" s="23">
        <v>0</v>
      </c>
    </row>
    <row r="130" spans="1:6" ht="15.6" customHeight="1" x14ac:dyDescent="0.3">
      <c r="A130">
        <v>2022</v>
      </c>
      <c r="B130" t="s">
        <v>41</v>
      </c>
      <c r="C130" t="s">
        <v>36</v>
      </c>
      <c r="D130" s="2">
        <v>54.835000000000001</v>
      </c>
      <c r="E130" s="23">
        <v>0.47</v>
      </c>
      <c r="F130" s="23">
        <v>0</v>
      </c>
    </row>
    <row r="131" spans="1:6" ht="15.6" customHeight="1" x14ac:dyDescent="0.3">
      <c r="A131">
        <v>2023</v>
      </c>
      <c r="B131" t="s">
        <v>41</v>
      </c>
      <c r="C131" t="s">
        <v>36</v>
      </c>
      <c r="D131" s="2">
        <v>52.95</v>
      </c>
      <c r="E131" s="23">
        <v>1.53</v>
      </c>
      <c r="F131" s="23">
        <v>0</v>
      </c>
    </row>
    <row r="132" spans="1:6" ht="15.6" customHeight="1" x14ac:dyDescent="0.3">
      <c r="A132">
        <v>2024</v>
      </c>
      <c r="B132" t="s">
        <v>41</v>
      </c>
      <c r="C132" t="s">
        <v>36</v>
      </c>
      <c r="D132" s="2">
        <v>48.42</v>
      </c>
      <c r="E132" s="23">
        <v>1.81</v>
      </c>
      <c r="F132" s="23">
        <v>0</v>
      </c>
    </row>
    <row r="133" spans="1:6" ht="15.6" customHeight="1" x14ac:dyDescent="0.3">
      <c r="A133">
        <v>2025</v>
      </c>
      <c r="B133" t="s">
        <v>41</v>
      </c>
      <c r="C133" t="s">
        <v>36</v>
      </c>
      <c r="D133" s="2">
        <v>40.1</v>
      </c>
      <c r="E133" s="23">
        <v>1.05</v>
      </c>
      <c r="F133" s="23">
        <v>0</v>
      </c>
    </row>
    <row r="134" spans="1:6" ht="15.6" customHeight="1" x14ac:dyDescent="0.3">
      <c r="A134">
        <v>2020</v>
      </c>
      <c r="B134" t="s">
        <v>42</v>
      </c>
      <c r="C134" t="s">
        <v>43</v>
      </c>
      <c r="D134" s="2">
        <v>38.82</v>
      </c>
      <c r="E134" s="23">
        <v>0</v>
      </c>
      <c r="F134" s="23">
        <v>0</v>
      </c>
    </row>
    <row r="135" spans="1:6" ht="15.6" customHeight="1" x14ac:dyDescent="0.3">
      <c r="A135">
        <v>2021</v>
      </c>
      <c r="B135" t="s">
        <v>42</v>
      </c>
      <c r="C135" t="s">
        <v>43</v>
      </c>
      <c r="D135" s="2">
        <v>38.53</v>
      </c>
      <c r="E135" s="23">
        <v>0</v>
      </c>
      <c r="F135" s="23">
        <v>0</v>
      </c>
    </row>
    <row r="136" spans="1:6" ht="15.6" customHeight="1" x14ac:dyDescent="0.3">
      <c r="A136">
        <v>2022</v>
      </c>
      <c r="B136" t="s">
        <v>42</v>
      </c>
      <c r="C136" t="s">
        <v>43</v>
      </c>
      <c r="D136" s="2">
        <v>41.77</v>
      </c>
      <c r="E136" s="23">
        <v>0</v>
      </c>
      <c r="F136" s="23">
        <v>0</v>
      </c>
    </row>
    <row r="137" spans="1:6" ht="15.6" customHeight="1" x14ac:dyDescent="0.3">
      <c r="A137">
        <v>2023</v>
      </c>
      <c r="B137" t="s">
        <v>42</v>
      </c>
      <c r="C137" t="s">
        <v>43</v>
      </c>
      <c r="D137" s="2">
        <v>59.96</v>
      </c>
      <c r="E137" s="23">
        <v>0</v>
      </c>
      <c r="F137" s="23">
        <v>0</v>
      </c>
    </row>
    <row r="138" spans="1:6" ht="15.6" customHeight="1" x14ac:dyDescent="0.3">
      <c r="A138">
        <v>2024</v>
      </c>
      <c r="B138" t="s">
        <v>42</v>
      </c>
      <c r="C138" t="s">
        <v>43</v>
      </c>
      <c r="D138" s="2">
        <v>44</v>
      </c>
      <c r="E138" s="23">
        <v>0</v>
      </c>
      <c r="F138" s="23">
        <v>0</v>
      </c>
    </row>
    <row r="139" spans="1:6" ht="15.6" customHeight="1" x14ac:dyDescent="0.3">
      <c r="A139">
        <v>2025</v>
      </c>
      <c r="B139" t="s">
        <v>42</v>
      </c>
      <c r="C139" t="s">
        <v>43</v>
      </c>
      <c r="D139" s="2">
        <v>42.3</v>
      </c>
      <c r="E139" s="23">
        <v>0</v>
      </c>
      <c r="F139" s="23">
        <v>0</v>
      </c>
    </row>
    <row r="140" spans="1:6" ht="15.6" customHeight="1" x14ac:dyDescent="0.3">
      <c r="A140">
        <v>2020</v>
      </c>
      <c r="B140" t="s">
        <v>44</v>
      </c>
      <c r="C140" t="s">
        <v>43</v>
      </c>
      <c r="D140" s="2">
        <v>2.61</v>
      </c>
      <c r="E140" s="23">
        <v>0</v>
      </c>
      <c r="F140" s="23">
        <v>0</v>
      </c>
    </row>
    <row r="141" spans="1:6" ht="15.6" customHeight="1" x14ac:dyDescent="0.3">
      <c r="A141">
        <v>2021</v>
      </c>
      <c r="B141" t="s">
        <v>44</v>
      </c>
      <c r="C141" t="s">
        <v>43</v>
      </c>
      <c r="D141" s="2">
        <v>4.4400000000000004</v>
      </c>
      <c r="E141" s="23">
        <v>0</v>
      </c>
      <c r="F141" s="23">
        <v>0</v>
      </c>
    </row>
    <row r="142" spans="1:6" ht="15.6" customHeight="1" x14ac:dyDescent="0.3">
      <c r="A142">
        <v>2022</v>
      </c>
      <c r="B142" t="s">
        <v>44</v>
      </c>
      <c r="C142" t="s">
        <v>43</v>
      </c>
      <c r="D142" s="2">
        <v>5.51</v>
      </c>
      <c r="E142" s="23">
        <v>0</v>
      </c>
      <c r="F142" s="23">
        <v>0</v>
      </c>
    </row>
    <row r="143" spans="1:6" ht="15.6" customHeight="1" x14ac:dyDescent="0.3">
      <c r="A143">
        <v>2023</v>
      </c>
      <c r="B143" t="s">
        <v>44</v>
      </c>
      <c r="C143" t="s">
        <v>43</v>
      </c>
      <c r="D143" s="2">
        <v>8.08</v>
      </c>
      <c r="E143" s="23">
        <v>0</v>
      </c>
      <c r="F143" s="23">
        <v>0</v>
      </c>
    </row>
    <row r="144" spans="1:6" ht="15.6" customHeight="1" x14ac:dyDescent="0.3">
      <c r="A144">
        <v>2024</v>
      </c>
      <c r="B144" t="s">
        <v>44</v>
      </c>
      <c r="C144" t="s">
        <v>43</v>
      </c>
      <c r="D144" s="2">
        <v>3.09</v>
      </c>
      <c r="E144" s="23">
        <v>0</v>
      </c>
      <c r="F144" s="23">
        <v>0</v>
      </c>
    </row>
    <row r="145" spans="1:6" ht="15.6" customHeight="1" x14ac:dyDescent="0.3">
      <c r="A145">
        <v>2025</v>
      </c>
      <c r="B145" t="s">
        <v>44</v>
      </c>
      <c r="C145" t="s">
        <v>43</v>
      </c>
      <c r="D145" s="2">
        <v>8.11</v>
      </c>
      <c r="E145" s="23">
        <v>0</v>
      </c>
      <c r="F145" s="23">
        <v>0</v>
      </c>
    </row>
    <row r="146" spans="1:6" ht="15.6" customHeight="1" x14ac:dyDescent="0.3">
      <c r="A146">
        <v>2020</v>
      </c>
      <c r="B146" t="s">
        <v>45</v>
      </c>
      <c r="C146" t="s">
        <v>43</v>
      </c>
      <c r="D146" s="2">
        <v>33.76</v>
      </c>
      <c r="E146" s="23">
        <v>0</v>
      </c>
      <c r="F146" s="23">
        <v>0</v>
      </c>
    </row>
    <row r="147" spans="1:6" ht="15.6" customHeight="1" x14ac:dyDescent="0.3">
      <c r="A147">
        <v>2021</v>
      </c>
      <c r="B147" t="s">
        <v>45</v>
      </c>
      <c r="C147" t="s">
        <v>43</v>
      </c>
      <c r="D147" s="2">
        <v>49.71</v>
      </c>
      <c r="E147" s="23">
        <v>0</v>
      </c>
      <c r="F147" s="23">
        <v>0</v>
      </c>
    </row>
    <row r="148" spans="1:6" ht="15.6" customHeight="1" x14ac:dyDescent="0.3">
      <c r="A148">
        <v>2022</v>
      </c>
      <c r="B148" t="s">
        <v>45</v>
      </c>
      <c r="C148" t="s">
        <v>43</v>
      </c>
      <c r="D148" s="2">
        <v>54.36</v>
      </c>
      <c r="E148" s="23">
        <v>0</v>
      </c>
      <c r="F148" s="23">
        <v>0</v>
      </c>
    </row>
    <row r="149" spans="1:6" ht="15.6" customHeight="1" x14ac:dyDescent="0.3">
      <c r="A149">
        <v>2023</v>
      </c>
      <c r="B149" t="s">
        <v>45</v>
      </c>
      <c r="C149" t="s">
        <v>43</v>
      </c>
      <c r="D149" s="2">
        <v>372.3</v>
      </c>
      <c r="E149" s="23">
        <v>0</v>
      </c>
      <c r="F149" s="23">
        <v>0</v>
      </c>
    </row>
    <row r="150" spans="1:6" ht="15.6" customHeight="1" x14ac:dyDescent="0.3">
      <c r="A150">
        <v>2024</v>
      </c>
      <c r="B150" t="s">
        <v>45</v>
      </c>
      <c r="C150" t="s">
        <v>43</v>
      </c>
      <c r="D150" s="2">
        <v>386.62</v>
      </c>
      <c r="E150" s="23">
        <v>0</v>
      </c>
      <c r="F150" s="23">
        <v>0</v>
      </c>
    </row>
    <row r="151" spans="1:6" ht="15.6" customHeight="1" x14ac:dyDescent="0.3">
      <c r="A151">
        <v>2025</v>
      </c>
      <c r="B151" t="s">
        <v>45</v>
      </c>
      <c r="C151" t="s">
        <v>43</v>
      </c>
      <c r="D151" s="2">
        <v>802</v>
      </c>
      <c r="E151" s="23">
        <v>0</v>
      </c>
      <c r="F151" s="23">
        <v>0</v>
      </c>
    </row>
    <row r="152" spans="1:6" ht="15.6" customHeight="1" x14ac:dyDescent="0.3">
      <c r="A152">
        <v>2020</v>
      </c>
      <c r="B152" t="s">
        <v>46</v>
      </c>
      <c r="C152" t="s">
        <v>43</v>
      </c>
      <c r="D152" s="2">
        <v>0.83</v>
      </c>
      <c r="E152" s="23">
        <v>0</v>
      </c>
      <c r="F152" s="23">
        <v>0</v>
      </c>
    </row>
    <row r="153" spans="1:6" ht="15.6" customHeight="1" x14ac:dyDescent="0.3">
      <c r="A153">
        <v>2021</v>
      </c>
      <c r="B153" t="s">
        <v>46</v>
      </c>
      <c r="C153" t="s">
        <v>43</v>
      </c>
      <c r="D153" s="2">
        <v>4</v>
      </c>
      <c r="E153" s="23">
        <v>0</v>
      </c>
      <c r="F153" s="23">
        <v>0</v>
      </c>
    </row>
    <row r="154" spans="1:6" ht="15.6" customHeight="1" x14ac:dyDescent="0.3">
      <c r="A154">
        <v>2022</v>
      </c>
      <c r="B154" t="s">
        <v>46</v>
      </c>
      <c r="C154" t="s">
        <v>43</v>
      </c>
      <c r="D154" s="2">
        <v>5</v>
      </c>
      <c r="E154" s="23">
        <v>0</v>
      </c>
      <c r="F154" s="23">
        <v>0</v>
      </c>
    </row>
    <row r="155" spans="1:6" ht="15.6" customHeight="1" x14ac:dyDescent="0.3">
      <c r="A155">
        <v>2023</v>
      </c>
      <c r="B155" t="s">
        <v>46</v>
      </c>
      <c r="C155" t="s">
        <v>43</v>
      </c>
      <c r="D155" s="2">
        <v>0</v>
      </c>
      <c r="E155" s="23">
        <v>0</v>
      </c>
      <c r="F155" s="23">
        <v>0</v>
      </c>
    </row>
    <row r="156" spans="1:6" ht="15.6" customHeight="1" x14ac:dyDescent="0.3">
      <c r="A156">
        <v>2024</v>
      </c>
      <c r="B156" t="s">
        <v>46</v>
      </c>
      <c r="C156" t="s">
        <v>43</v>
      </c>
      <c r="D156" s="2">
        <v>0</v>
      </c>
      <c r="E156" s="23">
        <v>0</v>
      </c>
      <c r="F156" s="23">
        <v>0</v>
      </c>
    </row>
    <row r="157" spans="1:6" ht="15.6" customHeight="1" x14ac:dyDescent="0.3">
      <c r="A157">
        <v>2025</v>
      </c>
      <c r="B157" t="s">
        <v>46</v>
      </c>
      <c r="C157" t="s">
        <v>43</v>
      </c>
      <c r="D157" s="2">
        <v>0</v>
      </c>
      <c r="E157" s="23">
        <v>0</v>
      </c>
      <c r="F157" s="23">
        <v>0</v>
      </c>
    </row>
    <row r="158" spans="1:6" ht="15.6" customHeight="1" x14ac:dyDescent="0.3">
      <c r="A158">
        <v>2020</v>
      </c>
      <c r="B158" t="s">
        <v>47</v>
      </c>
      <c r="C158" t="s">
        <v>48</v>
      </c>
      <c r="D158" s="2">
        <v>23.97</v>
      </c>
      <c r="E158" s="23">
        <v>18.350000000000001</v>
      </c>
      <c r="F158" s="23">
        <v>14.15</v>
      </c>
    </row>
    <row r="159" spans="1:6" ht="15.6" customHeight="1" x14ac:dyDescent="0.3">
      <c r="A159">
        <v>2021</v>
      </c>
      <c r="B159" t="s">
        <v>47</v>
      </c>
      <c r="C159" t="s">
        <v>48</v>
      </c>
      <c r="D159" s="2">
        <v>36.409999999999997</v>
      </c>
      <c r="E159" s="23">
        <v>10.89</v>
      </c>
      <c r="F159" s="23">
        <v>16.38</v>
      </c>
    </row>
    <row r="160" spans="1:6" ht="15.6" customHeight="1" x14ac:dyDescent="0.3">
      <c r="A160">
        <v>2022</v>
      </c>
      <c r="B160" t="s">
        <v>47</v>
      </c>
      <c r="C160" t="s">
        <v>48</v>
      </c>
      <c r="D160" s="2">
        <v>62.98</v>
      </c>
      <c r="E160" s="23">
        <v>35.82</v>
      </c>
      <c r="F160" s="23">
        <v>27.72</v>
      </c>
    </row>
    <row r="161" spans="1:6" ht="15.6" customHeight="1" x14ac:dyDescent="0.3">
      <c r="A161">
        <v>2023</v>
      </c>
      <c r="B161" t="s">
        <v>47</v>
      </c>
      <c r="C161" t="s">
        <v>48</v>
      </c>
      <c r="D161" s="2">
        <v>88.74</v>
      </c>
      <c r="E161" s="23">
        <v>69.47</v>
      </c>
      <c r="F161" s="23">
        <v>41.69</v>
      </c>
    </row>
    <row r="162" spans="1:6" ht="15.6" customHeight="1" x14ac:dyDescent="0.3">
      <c r="A162">
        <v>2024</v>
      </c>
      <c r="B162" t="s">
        <v>47</v>
      </c>
      <c r="C162" t="s">
        <v>48</v>
      </c>
      <c r="D162" s="2">
        <v>82.8</v>
      </c>
      <c r="E162" s="23">
        <v>59.05</v>
      </c>
      <c r="F162" s="23">
        <v>35.1</v>
      </c>
    </row>
    <row r="163" spans="1:6" ht="15.6" customHeight="1" x14ac:dyDescent="0.3">
      <c r="A163">
        <v>2025</v>
      </c>
      <c r="B163" t="s">
        <v>47</v>
      </c>
      <c r="C163" t="s">
        <v>48</v>
      </c>
      <c r="D163" s="2">
        <v>103</v>
      </c>
      <c r="E163" s="23">
        <v>66.510000000000005</v>
      </c>
      <c r="F163" s="23">
        <v>41.8</v>
      </c>
    </row>
    <row r="164" spans="1:6" ht="15.6" customHeight="1" x14ac:dyDescent="0.3">
      <c r="A164">
        <v>2020</v>
      </c>
      <c r="B164" t="s">
        <v>49</v>
      </c>
      <c r="C164" t="s">
        <v>48</v>
      </c>
      <c r="D164" s="2">
        <v>24.6</v>
      </c>
      <c r="E164" s="23">
        <v>13.85</v>
      </c>
      <c r="F164" s="23">
        <v>14.8</v>
      </c>
    </row>
    <row r="165" spans="1:6" ht="15.6" customHeight="1" x14ac:dyDescent="0.3">
      <c r="A165">
        <v>2021</v>
      </c>
      <c r="B165" t="s">
        <v>49</v>
      </c>
      <c r="C165" t="s">
        <v>48</v>
      </c>
      <c r="D165" s="2">
        <v>38.369999999999997</v>
      </c>
      <c r="E165" s="23">
        <v>19.28</v>
      </c>
      <c r="F165" s="23">
        <v>19.45</v>
      </c>
    </row>
    <row r="166" spans="1:6" ht="15.6" customHeight="1" x14ac:dyDescent="0.3">
      <c r="A166">
        <v>2022</v>
      </c>
      <c r="B166" t="s">
        <v>49</v>
      </c>
      <c r="C166" t="s">
        <v>48</v>
      </c>
      <c r="D166" s="2">
        <v>58.9</v>
      </c>
      <c r="E166" s="23">
        <v>23.27</v>
      </c>
      <c r="F166" s="23">
        <v>23.2</v>
      </c>
    </row>
    <row r="167" spans="1:6" ht="15.6" customHeight="1" x14ac:dyDescent="0.3">
      <c r="A167">
        <v>2023</v>
      </c>
      <c r="B167" t="s">
        <v>49</v>
      </c>
      <c r="C167" t="s">
        <v>48</v>
      </c>
      <c r="D167" s="2">
        <v>76.91</v>
      </c>
      <c r="E167" s="23">
        <v>36.229999999999997</v>
      </c>
      <c r="F167" s="23">
        <v>35.799999999999997</v>
      </c>
    </row>
    <row r="168" spans="1:6" ht="15.6" customHeight="1" x14ac:dyDescent="0.3">
      <c r="A168">
        <v>2024</v>
      </c>
      <c r="B168" t="s">
        <v>49</v>
      </c>
      <c r="C168" t="s">
        <v>48</v>
      </c>
      <c r="D168" s="2">
        <v>86.84</v>
      </c>
      <c r="E168" s="23">
        <v>40.94</v>
      </c>
      <c r="F168" s="23">
        <v>49.3</v>
      </c>
    </row>
    <row r="169" spans="1:6" ht="15.6" customHeight="1" x14ac:dyDescent="0.3">
      <c r="A169">
        <v>2025</v>
      </c>
      <c r="B169" t="s">
        <v>49</v>
      </c>
      <c r="C169" t="s">
        <v>48</v>
      </c>
      <c r="D169" s="2">
        <v>103</v>
      </c>
      <c r="E169" s="23">
        <v>56.55</v>
      </c>
      <c r="F169" s="23">
        <v>61</v>
      </c>
    </row>
    <row r="170" spans="1:6" ht="15.6" customHeight="1" x14ac:dyDescent="0.3">
      <c r="A170">
        <v>2020</v>
      </c>
      <c r="B170" t="s">
        <v>50</v>
      </c>
      <c r="C170" t="s">
        <v>48</v>
      </c>
      <c r="D170" s="2">
        <v>60.65</v>
      </c>
      <c r="E170" s="23">
        <v>45.77</v>
      </c>
      <c r="F170" s="23">
        <v>46.52</v>
      </c>
    </row>
    <row r="171" spans="1:6" ht="15.6" customHeight="1" x14ac:dyDescent="0.3">
      <c r="A171">
        <v>2021</v>
      </c>
      <c r="B171" t="s">
        <v>50</v>
      </c>
      <c r="C171" t="s">
        <v>48</v>
      </c>
      <c r="D171" s="2">
        <v>70.78</v>
      </c>
      <c r="E171" s="23">
        <v>42.28</v>
      </c>
      <c r="F171" s="23">
        <v>53.64</v>
      </c>
    </row>
    <row r="172" spans="1:6" ht="15.6" customHeight="1" x14ac:dyDescent="0.3">
      <c r="A172">
        <v>2022</v>
      </c>
      <c r="B172" t="s">
        <v>50</v>
      </c>
      <c r="C172" t="s">
        <v>48</v>
      </c>
      <c r="D172" s="2">
        <v>88.6</v>
      </c>
      <c r="E172" s="23">
        <v>47.26</v>
      </c>
      <c r="F172" s="23">
        <v>49.38</v>
      </c>
    </row>
    <row r="173" spans="1:6" ht="15.6" customHeight="1" x14ac:dyDescent="0.3">
      <c r="A173">
        <v>2023</v>
      </c>
      <c r="B173" t="s">
        <v>50</v>
      </c>
      <c r="C173" t="s">
        <v>48</v>
      </c>
      <c r="D173" s="2">
        <v>72.680000000000007</v>
      </c>
      <c r="E173" s="23">
        <v>47.22</v>
      </c>
      <c r="F173" s="23">
        <v>46.4</v>
      </c>
    </row>
    <row r="174" spans="1:6" ht="15.6" customHeight="1" x14ac:dyDescent="0.3">
      <c r="A174">
        <v>2024</v>
      </c>
      <c r="B174" t="s">
        <v>50</v>
      </c>
      <c r="C174" t="s">
        <v>48</v>
      </c>
      <c r="D174" s="2">
        <v>57.3</v>
      </c>
      <c r="E174" s="23">
        <v>46.99</v>
      </c>
      <c r="F174" s="23">
        <v>35.119999999999997</v>
      </c>
    </row>
    <row r="175" spans="1:6" ht="15.6" customHeight="1" x14ac:dyDescent="0.3">
      <c r="A175">
        <v>2025</v>
      </c>
      <c r="B175" t="s">
        <v>50</v>
      </c>
      <c r="C175" t="s">
        <v>48</v>
      </c>
      <c r="D175" s="2">
        <v>90.4</v>
      </c>
      <c r="E175" s="23">
        <v>52.23</v>
      </c>
      <c r="F175" s="23">
        <v>29.5</v>
      </c>
    </row>
    <row r="176" spans="1:6" ht="15.6" customHeight="1" x14ac:dyDescent="0.3">
      <c r="A176">
        <v>2020</v>
      </c>
      <c r="B176" t="s">
        <v>51</v>
      </c>
      <c r="C176" t="s">
        <v>48</v>
      </c>
      <c r="D176" s="2">
        <v>29</v>
      </c>
      <c r="E176" s="23">
        <v>27.62</v>
      </c>
      <c r="F176" s="23">
        <v>21.09</v>
      </c>
    </row>
    <row r="177" spans="1:6" ht="15.6" customHeight="1" x14ac:dyDescent="0.3">
      <c r="A177">
        <v>2021</v>
      </c>
      <c r="B177" t="s">
        <v>51</v>
      </c>
      <c r="C177" t="s">
        <v>48</v>
      </c>
      <c r="D177" s="2">
        <v>30.85</v>
      </c>
      <c r="E177" s="23">
        <v>24.31</v>
      </c>
      <c r="F177" s="23">
        <v>22.86</v>
      </c>
    </row>
    <row r="178" spans="1:6" ht="15.6" customHeight="1" x14ac:dyDescent="0.3">
      <c r="A178">
        <v>2022</v>
      </c>
      <c r="B178" t="s">
        <v>51</v>
      </c>
      <c r="C178" t="s">
        <v>48</v>
      </c>
      <c r="D178" s="2">
        <v>32.39</v>
      </c>
      <c r="E178" s="23">
        <v>27.94</v>
      </c>
      <c r="F178" s="23">
        <v>23.28</v>
      </c>
    </row>
    <row r="179" spans="1:6" ht="15.6" customHeight="1" x14ac:dyDescent="0.3">
      <c r="A179">
        <v>2023</v>
      </c>
      <c r="B179" t="s">
        <v>51</v>
      </c>
      <c r="C179" t="s">
        <v>48</v>
      </c>
      <c r="D179" s="2">
        <v>35.9</v>
      </c>
      <c r="E179" s="23">
        <v>12.77</v>
      </c>
      <c r="F179" s="23">
        <v>24.38</v>
      </c>
    </row>
    <row r="180" spans="1:6" ht="15.6" customHeight="1" x14ac:dyDescent="0.3">
      <c r="A180">
        <v>2024</v>
      </c>
      <c r="B180" t="s">
        <v>51</v>
      </c>
      <c r="C180" t="s">
        <v>48</v>
      </c>
      <c r="D180" s="2">
        <v>41.8</v>
      </c>
      <c r="E180" s="23">
        <v>11.73</v>
      </c>
      <c r="F180" s="23">
        <v>25.16</v>
      </c>
    </row>
    <row r="181" spans="1:6" ht="15.6" customHeight="1" x14ac:dyDescent="0.3">
      <c r="A181">
        <v>2025</v>
      </c>
      <c r="B181" t="s">
        <v>51</v>
      </c>
      <c r="C181" t="s">
        <v>48</v>
      </c>
      <c r="D181" s="2">
        <v>39.4</v>
      </c>
      <c r="E181" s="23">
        <v>10.6</v>
      </c>
      <c r="F181" s="23">
        <v>29.24</v>
      </c>
    </row>
    <row r="182" spans="1:6" ht="15.6" customHeight="1" x14ac:dyDescent="0.3">
      <c r="A182">
        <v>2020</v>
      </c>
      <c r="B182" t="s">
        <v>120</v>
      </c>
      <c r="C182" t="s">
        <v>48</v>
      </c>
      <c r="D182" s="2">
        <v>43.4</v>
      </c>
      <c r="E182" s="23">
        <v>14.41</v>
      </c>
      <c r="F182" s="23">
        <v>27.6</v>
      </c>
    </row>
    <row r="183" spans="1:6" ht="15.6" customHeight="1" x14ac:dyDescent="0.3">
      <c r="A183">
        <v>2021</v>
      </c>
      <c r="B183" t="s">
        <v>120</v>
      </c>
      <c r="C183" t="s">
        <v>48</v>
      </c>
      <c r="D183" s="2">
        <v>57</v>
      </c>
      <c r="E183" s="23">
        <v>19.95</v>
      </c>
      <c r="F183" s="23">
        <v>34.200000000000003</v>
      </c>
    </row>
    <row r="184" spans="1:6" ht="15.6" customHeight="1" x14ac:dyDescent="0.3">
      <c r="A184">
        <v>2022</v>
      </c>
      <c r="B184" t="s">
        <v>120</v>
      </c>
      <c r="C184" t="s">
        <v>48</v>
      </c>
      <c r="D184" s="2">
        <v>87.9</v>
      </c>
      <c r="E184" s="23">
        <v>36.28</v>
      </c>
      <c r="F184" s="23">
        <v>40</v>
      </c>
    </row>
    <row r="185" spans="1:6" ht="15.6" customHeight="1" x14ac:dyDescent="0.3">
      <c r="A185">
        <v>2023</v>
      </c>
      <c r="B185" t="s">
        <v>120</v>
      </c>
      <c r="C185" t="s">
        <v>48</v>
      </c>
      <c r="D185" s="2">
        <v>87.85</v>
      </c>
      <c r="E185" s="23">
        <v>38.69</v>
      </c>
      <c r="F185" s="23">
        <v>54</v>
      </c>
    </row>
    <row r="186" spans="1:6" ht="15.6" customHeight="1" x14ac:dyDescent="0.3">
      <c r="A186">
        <v>2024</v>
      </c>
      <c r="B186" t="s">
        <v>120</v>
      </c>
      <c r="C186" t="s">
        <v>48</v>
      </c>
      <c r="D186" s="2">
        <v>90.3</v>
      </c>
      <c r="E186" s="23">
        <v>35.909999999999997</v>
      </c>
      <c r="F186" s="23">
        <v>54.4</v>
      </c>
    </row>
    <row r="187" spans="1:6" ht="15.6" customHeight="1" x14ac:dyDescent="0.3">
      <c r="A187">
        <v>2025</v>
      </c>
      <c r="B187" t="s">
        <v>120</v>
      </c>
      <c r="C187" t="s">
        <v>48</v>
      </c>
      <c r="D187" s="2">
        <v>100.5</v>
      </c>
      <c r="E187" s="23">
        <v>32.81</v>
      </c>
      <c r="F187" s="23">
        <v>56.4</v>
      </c>
    </row>
    <row r="188" spans="1:6" ht="15.6" customHeight="1" x14ac:dyDescent="0.3">
      <c r="A188">
        <v>2020</v>
      </c>
      <c r="B188" t="s">
        <v>52</v>
      </c>
      <c r="C188" t="s">
        <v>48</v>
      </c>
      <c r="D188" s="2">
        <v>21.55</v>
      </c>
      <c r="E188" s="23">
        <v>12.64</v>
      </c>
      <c r="F188" s="23">
        <v>10.430999999999999</v>
      </c>
    </row>
    <row r="189" spans="1:6" ht="15.6" customHeight="1" x14ac:dyDescent="0.3">
      <c r="A189">
        <v>2021</v>
      </c>
      <c r="B189" t="s">
        <v>52</v>
      </c>
      <c r="C189" t="s">
        <v>48</v>
      </c>
      <c r="D189" s="2">
        <v>19.7</v>
      </c>
      <c r="E189" s="23">
        <v>8.5500000000000007</v>
      </c>
      <c r="F189" s="23">
        <v>6.5</v>
      </c>
    </row>
    <row r="190" spans="1:6" ht="15.6" customHeight="1" x14ac:dyDescent="0.3">
      <c r="A190">
        <v>2022</v>
      </c>
      <c r="B190" t="s">
        <v>52</v>
      </c>
      <c r="C190" t="s">
        <v>48</v>
      </c>
      <c r="D190" s="2">
        <v>17.216000000000001</v>
      </c>
      <c r="E190" s="23">
        <v>6.28</v>
      </c>
      <c r="F190" s="23">
        <v>5.68</v>
      </c>
    </row>
    <row r="191" spans="1:6" ht="15.6" customHeight="1" x14ac:dyDescent="0.3">
      <c r="A191">
        <v>2023</v>
      </c>
      <c r="B191" t="s">
        <v>52</v>
      </c>
      <c r="C191" t="s">
        <v>48</v>
      </c>
      <c r="D191" s="2">
        <v>18.760000000000002</v>
      </c>
      <c r="E191" s="23">
        <v>3.69</v>
      </c>
      <c r="F191" s="23">
        <v>1.25</v>
      </c>
    </row>
    <row r="192" spans="1:6" ht="15.6" customHeight="1" x14ac:dyDescent="0.3">
      <c r="A192">
        <v>2024</v>
      </c>
      <c r="B192" t="s">
        <v>52</v>
      </c>
      <c r="C192" t="s">
        <v>48</v>
      </c>
      <c r="D192" s="2">
        <v>20</v>
      </c>
      <c r="E192" s="23">
        <v>12.89</v>
      </c>
      <c r="F192" s="23">
        <v>12.32</v>
      </c>
    </row>
    <row r="193" spans="1:6" ht="15.6" customHeight="1" x14ac:dyDescent="0.3">
      <c r="A193">
        <v>2025</v>
      </c>
      <c r="B193" t="s">
        <v>52</v>
      </c>
      <c r="C193" t="s">
        <v>48</v>
      </c>
      <c r="D193" s="2">
        <v>37.56</v>
      </c>
      <c r="E193" s="23">
        <v>19.260000000000002</v>
      </c>
      <c r="F193" s="23">
        <v>14.87</v>
      </c>
    </row>
    <row r="194" spans="1:6" ht="15.6" customHeight="1" x14ac:dyDescent="0.3">
      <c r="A194">
        <v>2020</v>
      </c>
      <c r="B194" t="s">
        <v>53</v>
      </c>
      <c r="C194" t="s">
        <v>48</v>
      </c>
      <c r="D194" s="2">
        <v>2.5</v>
      </c>
      <c r="E194" s="23">
        <v>0.61</v>
      </c>
      <c r="F194" s="23">
        <v>0.82</v>
      </c>
    </row>
    <row r="195" spans="1:6" ht="15.6" customHeight="1" x14ac:dyDescent="0.3">
      <c r="A195">
        <v>2021</v>
      </c>
      <c r="B195" t="s">
        <v>53</v>
      </c>
      <c r="C195" t="s">
        <v>48</v>
      </c>
      <c r="D195" s="2">
        <v>5.6260000000000003</v>
      </c>
      <c r="E195" s="23">
        <v>2.33</v>
      </c>
      <c r="F195" s="23">
        <v>1.28</v>
      </c>
    </row>
    <row r="196" spans="1:6" ht="15.6" customHeight="1" x14ac:dyDescent="0.3">
      <c r="A196">
        <v>2022</v>
      </c>
      <c r="B196" t="s">
        <v>53</v>
      </c>
      <c r="C196" t="s">
        <v>48</v>
      </c>
      <c r="D196" s="2">
        <v>5.49</v>
      </c>
      <c r="E196" s="23">
        <v>2.02</v>
      </c>
      <c r="F196" s="23">
        <v>1.45</v>
      </c>
    </row>
    <row r="197" spans="1:6" ht="15.6" customHeight="1" x14ac:dyDescent="0.3">
      <c r="A197">
        <v>2023</v>
      </c>
      <c r="B197" t="s">
        <v>53</v>
      </c>
      <c r="C197" t="s">
        <v>48</v>
      </c>
      <c r="D197" s="2">
        <v>5.6</v>
      </c>
      <c r="E197" s="23">
        <v>1.33</v>
      </c>
      <c r="F197" s="23">
        <v>0.94</v>
      </c>
    </row>
    <row r="198" spans="1:6" ht="15.6" customHeight="1" x14ac:dyDescent="0.3">
      <c r="A198">
        <v>2024</v>
      </c>
      <c r="B198" t="s">
        <v>53</v>
      </c>
      <c r="C198" t="s">
        <v>48</v>
      </c>
      <c r="D198" s="2">
        <v>4.47</v>
      </c>
      <c r="E198" s="23">
        <v>0.62</v>
      </c>
      <c r="F198" s="23">
        <v>0.35</v>
      </c>
    </row>
    <row r="199" spans="1:6" ht="15.6" customHeight="1" x14ac:dyDescent="0.3">
      <c r="A199">
        <v>2025</v>
      </c>
      <c r="B199" t="s">
        <v>53</v>
      </c>
      <c r="C199" t="s">
        <v>48</v>
      </c>
      <c r="D199" s="2">
        <v>11.15</v>
      </c>
      <c r="E199" s="23">
        <v>2.4300000000000002</v>
      </c>
      <c r="F199" s="23">
        <v>0.68</v>
      </c>
    </row>
    <row r="200" spans="1:6" ht="15.6" customHeight="1" x14ac:dyDescent="0.3">
      <c r="A200">
        <v>2020</v>
      </c>
      <c r="B200" t="s">
        <v>54</v>
      </c>
      <c r="C200" t="s">
        <v>48</v>
      </c>
      <c r="D200" s="2">
        <v>0.55400000000000005</v>
      </c>
      <c r="E200" s="23">
        <v>0.06</v>
      </c>
      <c r="F200" s="23">
        <v>0.35</v>
      </c>
    </row>
    <row r="201" spans="1:6" ht="15.6" customHeight="1" x14ac:dyDescent="0.3">
      <c r="A201">
        <v>2021</v>
      </c>
      <c r="B201" t="s">
        <v>54</v>
      </c>
      <c r="C201" t="s">
        <v>48</v>
      </c>
      <c r="D201" s="2">
        <v>0.92</v>
      </c>
      <c r="E201" s="23">
        <v>7.0000000000000007E-2</v>
      </c>
      <c r="F201" s="23">
        <v>0.54</v>
      </c>
    </row>
    <row r="202" spans="1:6" ht="15.6" customHeight="1" x14ac:dyDescent="0.3">
      <c r="A202">
        <v>2022</v>
      </c>
      <c r="B202" t="s">
        <v>54</v>
      </c>
      <c r="C202" t="s">
        <v>48</v>
      </c>
      <c r="D202" s="2">
        <v>1.32</v>
      </c>
      <c r="E202" s="23">
        <v>0.16</v>
      </c>
      <c r="F202" s="23">
        <v>0.76</v>
      </c>
    </row>
    <row r="203" spans="1:6" ht="15.6" customHeight="1" x14ac:dyDescent="0.3">
      <c r="A203">
        <v>2023</v>
      </c>
      <c r="B203" t="s">
        <v>54</v>
      </c>
      <c r="C203" t="s">
        <v>48</v>
      </c>
      <c r="D203" s="2">
        <v>1.93</v>
      </c>
      <c r="E203" s="23">
        <v>0.25</v>
      </c>
      <c r="F203" s="23">
        <v>1.25</v>
      </c>
    </row>
    <row r="204" spans="1:6" ht="15.6" customHeight="1" x14ac:dyDescent="0.3">
      <c r="A204">
        <v>2024</v>
      </c>
      <c r="B204" t="s">
        <v>54</v>
      </c>
      <c r="C204" t="s">
        <v>48</v>
      </c>
      <c r="D204" s="2">
        <v>2.2400000000000002</v>
      </c>
      <c r="E204" s="23">
        <v>0.57999999999999996</v>
      </c>
      <c r="F204" s="23">
        <v>1.58</v>
      </c>
    </row>
    <row r="205" spans="1:6" ht="15.6" customHeight="1" x14ac:dyDescent="0.3">
      <c r="A205">
        <v>2025</v>
      </c>
      <c r="B205" t="s">
        <v>54</v>
      </c>
      <c r="C205" t="s">
        <v>48</v>
      </c>
      <c r="D205" s="2">
        <v>2.71</v>
      </c>
      <c r="E205" s="23">
        <v>0.67</v>
      </c>
      <c r="F205" s="23">
        <v>1.94</v>
      </c>
    </row>
    <row r="206" spans="1:6" ht="15.6" customHeight="1" x14ac:dyDescent="0.3">
      <c r="A206">
        <v>2020</v>
      </c>
      <c r="B206" t="s">
        <v>55</v>
      </c>
      <c r="C206" t="s">
        <v>48</v>
      </c>
      <c r="D206" s="2">
        <v>1.07</v>
      </c>
      <c r="E206" s="23">
        <v>0</v>
      </c>
      <c r="F206" s="23">
        <v>0</v>
      </c>
    </row>
    <row r="207" spans="1:6" ht="15.6" customHeight="1" x14ac:dyDescent="0.3">
      <c r="A207">
        <v>2021</v>
      </c>
      <c r="B207" t="s">
        <v>55</v>
      </c>
      <c r="C207" t="s">
        <v>48</v>
      </c>
      <c r="D207" s="2">
        <v>2.4940000000000002</v>
      </c>
      <c r="E207" s="23">
        <v>0</v>
      </c>
      <c r="F207" s="23">
        <v>0</v>
      </c>
    </row>
    <row r="208" spans="1:6" ht="15.6" customHeight="1" x14ac:dyDescent="0.3">
      <c r="A208">
        <v>2022</v>
      </c>
      <c r="B208" t="s">
        <v>55</v>
      </c>
      <c r="C208" t="s">
        <v>48</v>
      </c>
      <c r="D208" s="2">
        <v>3.4790000000000001</v>
      </c>
      <c r="E208" s="23">
        <v>0</v>
      </c>
      <c r="F208" s="23">
        <v>0</v>
      </c>
    </row>
    <row r="209" spans="1:6" ht="15.6" customHeight="1" x14ac:dyDescent="0.3">
      <c r="A209">
        <v>2023</v>
      </c>
      <c r="B209" t="s">
        <v>55</v>
      </c>
      <c r="C209" t="s">
        <v>48</v>
      </c>
      <c r="D209" s="2">
        <v>3.2269999999999999</v>
      </c>
      <c r="E209" s="23">
        <v>0</v>
      </c>
      <c r="F209" s="23">
        <v>0</v>
      </c>
    </row>
    <row r="210" spans="1:6" ht="15.6" customHeight="1" x14ac:dyDescent="0.3">
      <c r="A210">
        <v>2024</v>
      </c>
      <c r="B210" t="s">
        <v>55</v>
      </c>
      <c r="C210" t="s">
        <v>48</v>
      </c>
      <c r="D210" s="2">
        <v>2.57</v>
      </c>
      <c r="E210" s="23">
        <v>0</v>
      </c>
      <c r="F210" s="23">
        <v>0.12</v>
      </c>
    </row>
    <row r="211" spans="1:6" ht="15.6" customHeight="1" x14ac:dyDescent="0.3">
      <c r="A211">
        <v>2025</v>
      </c>
      <c r="B211" t="s">
        <v>55</v>
      </c>
      <c r="C211" t="s">
        <v>48</v>
      </c>
      <c r="D211" s="2">
        <v>7.22</v>
      </c>
      <c r="E211" s="23">
        <v>0.42</v>
      </c>
      <c r="F211" s="23">
        <v>1.28</v>
      </c>
    </row>
    <row r="212" spans="1:6" ht="15.6" customHeight="1" x14ac:dyDescent="0.3">
      <c r="A212">
        <v>2020</v>
      </c>
      <c r="B212" t="s">
        <v>56</v>
      </c>
      <c r="C212" t="s">
        <v>48</v>
      </c>
      <c r="D212" s="2">
        <v>11.87</v>
      </c>
      <c r="E212" s="23">
        <v>2.71</v>
      </c>
      <c r="F212" s="23">
        <v>4.25</v>
      </c>
    </row>
    <row r="213" spans="1:6" ht="15.6" customHeight="1" x14ac:dyDescent="0.3">
      <c r="A213">
        <v>2021</v>
      </c>
      <c r="B213" t="s">
        <v>56</v>
      </c>
      <c r="C213" t="s">
        <v>48</v>
      </c>
      <c r="D213" s="2">
        <v>11.83</v>
      </c>
      <c r="E213" s="23">
        <v>3.24</v>
      </c>
      <c r="F213" s="23">
        <v>4.58</v>
      </c>
    </row>
    <row r="214" spans="1:6" ht="15.6" customHeight="1" x14ac:dyDescent="0.3">
      <c r="A214">
        <v>2022</v>
      </c>
      <c r="B214" t="s">
        <v>56</v>
      </c>
      <c r="C214" t="s">
        <v>48</v>
      </c>
      <c r="D214" s="2">
        <v>7.9870000000000001</v>
      </c>
      <c r="E214" s="23">
        <v>4.8899999999999997</v>
      </c>
      <c r="F214" s="23">
        <v>3.42</v>
      </c>
    </row>
    <row r="215" spans="1:6" ht="15.6" customHeight="1" x14ac:dyDescent="0.3">
      <c r="A215">
        <v>2023</v>
      </c>
      <c r="B215" t="s">
        <v>56</v>
      </c>
      <c r="C215" t="s">
        <v>48</v>
      </c>
      <c r="D215" s="2">
        <v>11.78</v>
      </c>
      <c r="E215" s="23">
        <v>4.88</v>
      </c>
      <c r="F215" s="23">
        <v>2.78</v>
      </c>
    </row>
    <row r="216" spans="1:6" ht="15.6" customHeight="1" x14ac:dyDescent="0.3">
      <c r="A216">
        <v>2024</v>
      </c>
      <c r="B216" t="s">
        <v>56</v>
      </c>
      <c r="C216" t="s">
        <v>48</v>
      </c>
      <c r="D216" s="2">
        <v>13.4</v>
      </c>
      <c r="E216" s="23">
        <v>6.08</v>
      </c>
      <c r="F216" s="23">
        <v>2.78</v>
      </c>
    </row>
    <row r="217" spans="1:6" ht="15.6" customHeight="1" x14ac:dyDescent="0.3">
      <c r="A217">
        <v>2025</v>
      </c>
      <c r="B217" t="s">
        <v>56</v>
      </c>
      <c r="C217" t="s">
        <v>48</v>
      </c>
      <c r="D217" s="2">
        <v>15.8</v>
      </c>
      <c r="E217" s="23">
        <v>9.98</v>
      </c>
      <c r="F217" s="23">
        <v>2.95</v>
      </c>
    </row>
    <row r="218" spans="1:6" ht="15.6" customHeight="1" x14ac:dyDescent="0.3">
      <c r="A218">
        <v>2020</v>
      </c>
      <c r="B218" t="s">
        <v>57</v>
      </c>
      <c r="C218" t="s">
        <v>58</v>
      </c>
      <c r="D218" s="2">
        <v>12.73</v>
      </c>
      <c r="E218" s="23">
        <v>3.16</v>
      </c>
      <c r="F218" s="23">
        <v>0</v>
      </c>
    </row>
    <row r="219" spans="1:6" ht="15.6" customHeight="1" x14ac:dyDescent="0.3">
      <c r="A219">
        <v>2021</v>
      </c>
      <c r="B219" t="s">
        <v>57</v>
      </c>
      <c r="C219" t="s">
        <v>58</v>
      </c>
      <c r="D219" s="2">
        <v>11.8</v>
      </c>
      <c r="E219" s="23">
        <v>0.97</v>
      </c>
      <c r="F219" s="23">
        <v>0</v>
      </c>
    </row>
    <row r="220" spans="1:6" ht="15.6" customHeight="1" x14ac:dyDescent="0.3">
      <c r="A220">
        <v>2022</v>
      </c>
      <c r="B220" t="s">
        <v>57</v>
      </c>
      <c r="C220" t="s">
        <v>58</v>
      </c>
      <c r="D220" s="2">
        <v>13</v>
      </c>
      <c r="E220" s="23">
        <v>2</v>
      </c>
      <c r="F220" s="23">
        <v>0</v>
      </c>
    </row>
    <row r="221" spans="1:6" ht="15.6" customHeight="1" x14ac:dyDescent="0.3">
      <c r="A221">
        <v>2023</v>
      </c>
      <c r="B221" t="s">
        <v>57</v>
      </c>
      <c r="C221" t="s">
        <v>58</v>
      </c>
      <c r="D221" s="2">
        <v>12.92</v>
      </c>
      <c r="E221" s="23">
        <v>1.64</v>
      </c>
      <c r="F221" s="23">
        <v>0</v>
      </c>
    </row>
    <row r="222" spans="1:6" ht="15.6" customHeight="1" x14ac:dyDescent="0.3">
      <c r="A222">
        <v>2024</v>
      </c>
      <c r="B222" t="s">
        <v>57</v>
      </c>
      <c r="C222" t="s">
        <v>58</v>
      </c>
      <c r="D222" s="2">
        <v>28.52</v>
      </c>
      <c r="E222" s="23">
        <v>1.49</v>
      </c>
      <c r="F222" s="23">
        <v>0</v>
      </c>
    </row>
    <row r="223" spans="1:6" ht="15.6" customHeight="1" x14ac:dyDescent="0.3">
      <c r="A223">
        <v>2025</v>
      </c>
      <c r="B223" t="s">
        <v>57</v>
      </c>
      <c r="C223" t="s">
        <v>58</v>
      </c>
      <c r="D223" s="2">
        <v>26.14</v>
      </c>
      <c r="E223" s="23">
        <v>1.1599999999999999</v>
      </c>
      <c r="F223" s="23">
        <v>0</v>
      </c>
    </row>
    <row r="224" spans="1:6" ht="15.6" customHeight="1" x14ac:dyDescent="0.3">
      <c r="A224">
        <v>2020</v>
      </c>
      <c r="B224" t="s">
        <v>117</v>
      </c>
      <c r="C224" t="s">
        <v>116</v>
      </c>
      <c r="D224">
        <v>129.9</v>
      </c>
      <c r="E224" s="23">
        <v>62.29</v>
      </c>
      <c r="F224" s="23">
        <v>129.9</v>
      </c>
    </row>
    <row r="225" spans="1:6" ht="15.6" customHeight="1" x14ac:dyDescent="0.3">
      <c r="A225">
        <v>2021</v>
      </c>
      <c r="B225" t="s">
        <v>117</v>
      </c>
      <c r="C225" t="s">
        <v>116</v>
      </c>
      <c r="D225" s="23">
        <v>115.26</v>
      </c>
      <c r="E225" s="23">
        <v>78.5</v>
      </c>
      <c r="F225" s="23">
        <v>115.26</v>
      </c>
    </row>
    <row r="226" spans="1:6" ht="15.6" customHeight="1" x14ac:dyDescent="0.3">
      <c r="A226">
        <v>2022</v>
      </c>
      <c r="B226" t="s">
        <v>117</v>
      </c>
      <c r="C226" t="s">
        <v>116</v>
      </c>
      <c r="D226" s="23">
        <v>107.6</v>
      </c>
      <c r="E226" s="23">
        <v>69.22</v>
      </c>
      <c r="F226" s="23">
        <v>107.6</v>
      </c>
    </row>
    <row r="227" spans="1:6" ht="15.6" customHeight="1" x14ac:dyDescent="0.3">
      <c r="A227">
        <v>2023</v>
      </c>
      <c r="B227" t="s">
        <v>117</v>
      </c>
      <c r="C227" t="s">
        <v>116</v>
      </c>
      <c r="D227">
        <v>119.98</v>
      </c>
      <c r="E227" s="23">
        <v>75.42</v>
      </c>
      <c r="F227">
        <v>119.98</v>
      </c>
    </row>
    <row r="228" spans="1:6" ht="15.6" customHeight="1" x14ac:dyDescent="0.3">
      <c r="A228">
        <v>2024</v>
      </c>
      <c r="B228" t="s">
        <v>117</v>
      </c>
      <c r="C228" t="s">
        <v>116</v>
      </c>
      <c r="D228">
        <v>128.6</v>
      </c>
      <c r="E228" s="23">
        <v>79.41</v>
      </c>
      <c r="F228">
        <v>128.6</v>
      </c>
    </row>
    <row r="229" spans="1:6" ht="15.6" customHeight="1" x14ac:dyDescent="0.3">
      <c r="A229">
        <v>2025</v>
      </c>
      <c r="B229" t="s">
        <v>117</v>
      </c>
      <c r="C229" t="s">
        <v>116</v>
      </c>
      <c r="D229">
        <v>140.80000000000001</v>
      </c>
      <c r="E229" s="23">
        <v>72.98</v>
      </c>
      <c r="F229">
        <v>140.80000000000001</v>
      </c>
    </row>
    <row r="230" spans="1:6" ht="15.6" customHeight="1" x14ac:dyDescent="0.3">
      <c r="A230">
        <v>2020</v>
      </c>
      <c r="B230" t="s">
        <v>118</v>
      </c>
      <c r="C230" t="s">
        <v>116</v>
      </c>
      <c r="D230" s="23">
        <v>10.59</v>
      </c>
      <c r="E230" s="23">
        <v>8.83</v>
      </c>
      <c r="F230" s="23">
        <v>10.59</v>
      </c>
    </row>
    <row r="231" spans="1:6" ht="15.6" customHeight="1" x14ac:dyDescent="0.3">
      <c r="A231">
        <v>2021</v>
      </c>
      <c r="B231" t="s">
        <v>118</v>
      </c>
      <c r="C231" t="s">
        <v>116</v>
      </c>
      <c r="D231" s="23">
        <v>10.15</v>
      </c>
      <c r="E231" s="23">
        <v>8.2100000000000009</v>
      </c>
      <c r="F231" s="23">
        <v>10.15</v>
      </c>
    </row>
    <row r="232" spans="1:6" ht="15.6" customHeight="1" x14ac:dyDescent="0.3">
      <c r="A232">
        <v>2022</v>
      </c>
      <c r="B232" t="s">
        <v>118</v>
      </c>
      <c r="C232" t="s">
        <v>116</v>
      </c>
      <c r="D232" s="23">
        <v>9.3800000000000008</v>
      </c>
      <c r="E232" s="23">
        <v>7.52</v>
      </c>
      <c r="F232" s="23">
        <v>9.3800000000000008</v>
      </c>
    </row>
    <row r="233" spans="1:6" ht="15.6" customHeight="1" x14ac:dyDescent="0.3">
      <c r="A233">
        <v>2023</v>
      </c>
      <c r="B233" t="s">
        <v>118</v>
      </c>
      <c r="C233" t="s">
        <v>116</v>
      </c>
      <c r="D233" s="23">
        <v>9.3000000000000007</v>
      </c>
      <c r="E233" s="23">
        <v>8.51</v>
      </c>
      <c r="F233" s="23">
        <v>9.3000000000000007</v>
      </c>
    </row>
    <row r="234" spans="1:6" ht="15.6" customHeight="1" x14ac:dyDescent="0.3">
      <c r="A234">
        <v>2024</v>
      </c>
      <c r="B234" t="s">
        <v>118</v>
      </c>
      <c r="C234" t="s">
        <v>116</v>
      </c>
      <c r="D234" s="23">
        <v>10.6</v>
      </c>
      <c r="E234" s="23">
        <v>9.25</v>
      </c>
      <c r="F234" s="23">
        <v>10.6</v>
      </c>
    </row>
    <row r="235" spans="1:6" ht="15.6" customHeight="1" x14ac:dyDescent="0.3">
      <c r="A235">
        <v>2025</v>
      </c>
      <c r="B235" t="s">
        <v>118</v>
      </c>
      <c r="C235" t="s">
        <v>116</v>
      </c>
      <c r="D235" s="23">
        <v>15.24</v>
      </c>
      <c r="E235" s="23">
        <v>12.64</v>
      </c>
      <c r="F235" s="23">
        <v>15.24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13B7-CDC8-468F-844B-7605B04E2A01}">
  <dimension ref="A1:F22"/>
  <sheetViews>
    <sheetView workbookViewId="0">
      <selection activeCell="E1" sqref="E1"/>
    </sheetView>
  </sheetViews>
  <sheetFormatPr defaultRowHeight="14.4" x14ac:dyDescent="0.3"/>
  <cols>
    <col min="1" max="1" width="19.77734375" bestFit="1" customWidth="1"/>
    <col min="2" max="2" width="13.77734375" style="2" bestFit="1" customWidth="1"/>
    <col min="3" max="3" width="17.44140625" style="2" bestFit="1" customWidth="1"/>
    <col min="4" max="4" width="17.33203125" style="2" bestFit="1" customWidth="1"/>
    <col min="5" max="5" width="37" bestFit="1" customWidth="1"/>
    <col min="6" max="6" width="15" style="2" bestFit="1" customWidth="1"/>
  </cols>
  <sheetData>
    <row r="1" spans="1:6" s="28" customFormat="1" x14ac:dyDescent="0.3">
      <c r="A1" s="28" t="s">
        <v>2</v>
      </c>
      <c r="B1" s="35" t="s">
        <v>9</v>
      </c>
      <c r="C1" s="35" t="s">
        <v>10</v>
      </c>
      <c r="D1" s="34" t="s">
        <v>11</v>
      </c>
      <c r="E1" s="28" t="s">
        <v>12</v>
      </c>
      <c r="F1" s="35" t="s">
        <v>15</v>
      </c>
    </row>
    <row r="2" spans="1:6" x14ac:dyDescent="0.3">
      <c r="A2" t="s">
        <v>5</v>
      </c>
      <c r="B2" s="8">
        <v>24</v>
      </c>
      <c r="C2" s="8">
        <v>27</v>
      </c>
      <c r="D2" s="8">
        <v>57</v>
      </c>
      <c r="E2" s="8">
        <v>23.05</v>
      </c>
      <c r="F2" s="2">
        <v>37</v>
      </c>
    </row>
    <row r="3" spans="1:6" x14ac:dyDescent="0.3">
      <c r="A3" t="s">
        <v>6</v>
      </c>
      <c r="B3" s="2">
        <v>56</v>
      </c>
      <c r="C3" s="8">
        <v>43</v>
      </c>
      <c r="D3" s="8">
        <v>20</v>
      </c>
      <c r="E3" s="2">
        <v>19.39</v>
      </c>
      <c r="F3" s="2">
        <v>47.2</v>
      </c>
    </row>
    <row r="4" spans="1:6" x14ac:dyDescent="0.3">
      <c r="A4" t="s">
        <v>7</v>
      </c>
      <c r="B4" s="8">
        <v>12</v>
      </c>
      <c r="C4" s="8">
        <v>13</v>
      </c>
      <c r="D4" s="8">
        <v>8</v>
      </c>
      <c r="E4" s="8">
        <v>22.29</v>
      </c>
      <c r="F4" s="2">
        <v>44</v>
      </c>
    </row>
    <row r="5" spans="1:6" x14ac:dyDescent="0.3">
      <c r="A5" t="s">
        <v>8</v>
      </c>
      <c r="B5" s="8">
        <v>8</v>
      </c>
      <c r="C5" s="8">
        <v>17</v>
      </c>
      <c r="D5" s="8">
        <v>15</v>
      </c>
      <c r="E5" s="8">
        <v>24.64</v>
      </c>
      <c r="F5" s="2">
        <v>38.6</v>
      </c>
    </row>
    <row r="7" spans="1:6" x14ac:dyDescent="0.3">
      <c r="A7" s="12"/>
      <c r="E7" s="2"/>
    </row>
    <row r="13" spans="1:6" x14ac:dyDescent="0.3">
      <c r="F13" s="5"/>
    </row>
    <row r="18" spans="2:6" x14ac:dyDescent="0.3">
      <c r="B18" s="9"/>
      <c r="C18" s="11"/>
      <c r="D18" s="11"/>
      <c r="E18" s="7"/>
      <c r="F18"/>
    </row>
    <row r="19" spans="2:6" x14ac:dyDescent="0.3">
      <c r="B19" s="10"/>
      <c r="C19" s="8"/>
      <c r="D19" s="8"/>
      <c r="E19" s="6"/>
      <c r="F19"/>
    </row>
    <row r="20" spans="2:6" x14ac:dyDescent="0.3">
      <c r="B20" s="10"/>
      <c r="C20" s="8"/>
      <c r="D20" s="8"/>
      <c r="E20" s="6"/>
    </row>
    <row r="21" spans="2:6" x14ac:dyDescent="0.3">
      <c r="B21" s="10"/>
      <c r="C21" s="8"/>
      <c r="D21" s="8"/>
      <c r="E21" s="6"/>
    </row>
    <row r="22" spans="2:6" x14ac:dyDescent="0.3">
      <c r="B22" s="10"/>
      <c r="C22" s="8"/>
      <c r="D22" s="8"/>
      <c r="E2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C688-375E-4944-B349-89CD977FA680}">
  <dimension ref="A1:C108"/>
  <sheetViews>
    <sheetView workbookViewId="0">
      <selection activeCell="C1" sqref="C1"/>
    </sheetView>
  </sheetViews>
  <sheetFormatPr defaultRowHeight="14.4" x14ac:dyDescent="0.3"/>
  <cols>
    <col min="1" max="1" width="19.77734375" bestFit="1" customWidth="1"/>
    <col min="2" max="2" width="18.6640625" bestFit="1" customWidth="1"/>
    <col min="3" max="3" width="23.88671875" style="26" bestFit="1" customWidth="1"/>
    <col min="4" max="4" width="9.77734375" bestFit="1" customWidth="1"/>
  </cols>
  <sheetData>
    <row r="1" spans="1:3" x14ac:dyDescent="0.3">
      <c r="A1" s="1" t="s">
        <v>2</v>
      </c>
      <c r="B1" t="s">
        <v>3</v>
      </c>
      <c r="C1" t="s">
        <v>122</v>
      </c>
    </row>
    <row r="2" spans="1:3" x14ac:dyDescent="0.3">
      <c r="A2" t="s">
        <v>5</v>
      </c>
      <c r="B2" t="s">
        <v>61</v>
      </c>
      <c r="C2" s="26">
        <v>1829000</v>
      </c>
    </row>
    <row r="3" spans="1:3" x14ac:dyDescent="0.3">
      <c r="A3" t="s">
        <v>5</v>
      </c>
      <c r="B3" t="s">
        <v>62</v>
      </c>
      <c r="C3" s="26">
        <v>2815000</v>
      </c>
    </row>
    <row r="4" spans="1:3" x14ac:dyDescent="0.3">
      <c r="A4" t="s">
        <v>5</v>
      </c>
      <c r="B4" t="s">
        <v>63</v>
      </c>
      <c r="C4" s="26">
        <v>5349000</v>
      </c>
    </row>
    <row r="5" spans="1:3" x14ac:dyDescent="0.3">
      <c r="A5" t="s">
        <v>5</v>
      </c>
      <c r="B5" t="s">
        <v>64</v>
      </c>
      <c r="C5" s="26">
        <v>514396</v>
      </c>
    </row>
    <row r="6" spans="1:3" x14ac:dyDescent="0.3">
      <c r="A6" t="s">
        <v>5</v>
      </c>
      <c r="B6" t="s">
        <v>114</v>
      </c>
      <c r="C6" s="26">
        <v>77475</v>
      </c>
    </row>
    <row r="7" spans="1:3" x14ac:dyDescent="0.3">
      <c r="A7" t="s">
        <v>5</v>
      </c>
      <c r="B7" t="s">
        <v>65</v>
      </c>
      <c r="C7" s="26">
        <v>94000</v>
      </c>
    </row>
    <row r="8" spans="1:3" x14ac:dyDescent="0.3">
      <c r="A8" t="s">
        <v>5</v>
      </c>
      <c r="B8" t="s">
        <v>66</v>
      </c>
      <c r="C8" s="26">
        <v>152000</v>
      </c>
    </row>
    <row r="9" spans="1:3" x14ac:dyDescent="0.3">
      <c r="A9" t="s">
        <v>5</v>
      </c>
      <c r="B9" t="s">
        <v>67</v>
      </c>
      <c r="C9" s="26">
        <v>118500</v>
      </c>
    </row>
    <row r="10" spans="1:3" x14ac:dyDescent="0.3">
      <c r="A10" t="s">
        <v>5</v>
      </c>
      <c r="B10" t="s">
        <v>68</v>
      </c>
      <c r="C10" s="26">
        <v>26000</v>
      </c>
    </row>
    <row r="11" spans="1:3" x14ac:dyDescent="0.3">
      <c r="A11" t="s">
        <v>5</v>
      </c>
      <c r="B11" t="s">
        <v>69</v>
      </c>
      <c r="C11" s="26">
        <v>3500</v>
      </c>
    </row>
    <row r="12" spans="1:3" x14ac:dyDescent="0.3">
      <c r="A12" t="s">
        <v>5</v>
      </c>
      <c r="B12" t="s">
        <v>70</v>
      </c>
      <c r="C12" s="26">
        <v>370</v>
      </c>
    </row>
    <row r="13" spans="1:3" x14ac:dyDescent="0.3">
      <c r="A13" t="s">
        <v>5</v>
      </c>
      <c r="B13" t="s">
        <v>71</v>
      </c>
      <c r="C13" s="26">
        <v>68500</v>
      </c>
    </row>
    <row r="14" spans="1:3" x14ac:dyDescent="0.3">
      <c r="A14" t="s">
        <v>5</v>
      </c>
      <c r="B14" t="s">
        <v>72</v>
      </c>
      <c r="C14" s="26">
        <v>132000</v>
      </c>
    </row>
    <row r="15" spans="1:3" x14ac:dyDescent="0.3">
      <c r="A15" t="s">
        <v>5</v>
      </c>
      <c r="B15" t="s">
        <v>73</v>
      </c>
      <c r="C15" s="26">
        <v>94000</v>
      </c>
    </row>
    <row r="16" spans="1:3" x14ac:dyDescent="0.3">
      <c r="A16" t="s">
        <v>5</v>
      </c>
      <c r="B16" t="s">
        <v>74</v>
      </c>
      <c r="C16" s="26">
        <v>8100</v>
      </c>
    </row>
    <row r="17" spans="1:3" x14ac:dyDescent="0.3">
      <c r="A17" t="s">
        <v>5</v>
      </c>
      <c r="B17" t="s">
        <v>110</v>
      </c>
      <c r="C17" s="26">
        <v>6400</v>
      </c>
    </row>
    <row r="18" spans="1:3" x14ac:dyDescent="0.3">
      <c r="A18" t="s">
        <v>5</v>
      </c>
      <c r="B18" t="s">
        <v>108</v>
      </c>
      <c r="C18" s="26">
        <v>24500</v>
      </c>
    </row>
    <row r="19" spans="1:3" x14ac:dyDescent="0.3">
      <c r="A19" t="s">
        <v>5</v>
      </c>
      <c r="B19" t="s">
        <v>75</v>
      </c>
      <c r="C19" s="26">
        <v>19200</v>
      </c>
    </row>
    <row r="20" spans="1:3" x14ac:dyDescent="0.3">
      <c r="A20" t="s">
        <v>5</v>
      </c>
      <c r="B20" t="s">
        <v>84</v>
      </c>
      <c r="C20" s="26">
        <v>4100</v>
      </c>
    </row>
    <row r="21" spans="1:3" x14ac:dyDescent="0.3">
      <c r="A21" t="s">
        <v>5</v>
      </c>
      <c r="B21" t="s">
        <v>121</v>
      </c>
      <c r="C21" s="26">
        <v>295000</v>
      </c>
    </row>
    <row r="22" spans="1:3" x14ac:dyDescent="0.3">
      <c r="A22" t="s">
        <v>5</v>
      </c>
      <c r="B22" t="s">
        <v>76</v>
      </c>
      <c r="C22" s="26">
        <v>110000</v>
      </c>
    </row>
    <row r="23" spans="1:3" x14ac:dyDescent="0.3">
      <c r="A23" t="s">
        <v>5</v>
      </c>
      <c r="B23" t="s">
        <v>77</v>
      </c>
      <c r="C23" s="26">
        <v>41200</v>
      </c>
    </row>
    <row r="24" spans="1:3" x14ac:dyDescent="0.3">
      <c r="A24" t="s">
        <v>5</v>
      </c>
      <c r="B24" t="s">
        <v>78</v>
      </c>
      <c r="C24" s="26">
        <v>185000</v>
      </c>
    </row>
    <row r="25" spans="1:3" x14ac:dyDescent="0.3">
      <c r="A25" t="s">
        <v>6</v>
      </c>
      <c r="B25" t="s">
        <v>63</v>
      </c>
      <c r="C25" s="26">
        <v>20653000</v>
      </c>
    </row>
    <row r="26" spans="1:3" x14ac:dyDescent="0.3">
      <c r="A26" t="s">
        <v>6</v>
      </c>
      <c r="B26" t="s">
        <v>62</v>
      </c>
      <c r="C26" s="26">
        <v>6674000</v>
      </c>
    </row>
    <row r="27" spans="1:3" x14ac:dyDescent="0.3">
      <c r="A27" t="s">
        <v>6</v>
      </c>
      <c r="B27" t="s">
        <v>61</v>
      </c>
      <c r="C27" s="26">
        <v>3833000</v>
      </c>
    </row>
    <row r="28" spans="1:3" x14ac:dyDescent="0.3">
      <c r="A28" t="s">
        <v>6</v>
      </c>
      <c r="B28" t="s">
        <v>64</v>
      </c>
      <c r="C28" s="26">
        <v>1852000</v>
      </c>
    </row>
    <row r="29" spans="1:3" x14ac:dyDescent="0.3">
      <c r="A29" t="s">
        <v>6</v>
      </c>
      <c r="B29" t="s">
        <v>114</v>
      </c>
      <c r="C29" s="26">
        <v>2149000</v>
      </c>
    </row>
    <row r="30" spans="1:3" x14ac:dyDescent="0.3">
      <c r="A30" t="s">
        <v>6</v>
      </c>
      <c r="B30" t="s">
        <v>79</v>
      </c>
      <c r="C30" s="26">
        <v>435000</v>
      </c>
    </row>
    <row r="31" spans="1:3" x14ac:dyDescent="0.3">
      <c r="A31" t="s">
        <v>6</v>
      </c>
      <c r="B31" t="s">
        <v>66</v>
      </c>
      <c r="C31" s="26">
        <v>274000</v>
      </c>
    </row>
    <row r="32" spans="1:3" x14ac:dyDescent="0.3">
      <c r="A32" t="s">
        <v>6</v>
      </c>
      <c r="B32" t="s">
        <v>68</v>
      </c>
      <c r="C32" s="26">
        <v>123000</v>
      </c>
    </row>
    <row r="33" spans="1:3" x14ac:dyDescent="0.3">
      <c r="A33" t="s">
        <v>6</v>
      </c>
      <c r="B33" t="s">
        <v>80</v>
      </c>
      <c r="C33" s="26">
        <v>12500</v>
      </c>
    </row>
    <row r="34" spans="1:3" x14ac:dyDescent="0.3">
      <c r="A34" t="s">
        <v>6</v>
      </c>
      <c r="B34" t="s">
        <v>67</v>
      </c>
      <c r="C34" s="26">
        <v>15400</v>
      </c>
    </row>
    <row r="35" spans="1:3" x14ac:dyDescent="0.3">
      <c r="A35" t="s">
        <v>6</v>
      </c>
      <c r="B35" t="s">
        <v>74</v>
      </c>
      <c r="C35" s="26">
        <v>543000</v>
      </c>
    </row>
    <row r="36" spans="1:3" x14ac:dyDescent="0.3">
      <c r="A36" t="s">
        <v>6</v>
      </c>
      <c r="B36" t="s">
        <v>72</v>
      </c>
      <c r="C36" s="26">
        <v>121500</v>
      </c>
    </row>
    <row r="37" spans="1:3" x14ac:dyDescent="0.3">
      <c r="A37" t="s">
        <v>6</v>
      </c>
      <c r="B37" t="s">
        <v>71</v>
      </c>
      <c r="C37" s="26">
        <v>52300</v>
      </c>
    </row>
    <row r="38" spans="1:3" x14ac:dyDescent="0.3">
      <c r="A38" t="s">
        <v>6</v>
      </c>
      <c r="B38" t="s">
        <v>81</v>
      </c>
      <c r="C38" s="26">
        <v>31500</v>
      </c>
    </row>
    <row r="39" spans="1:3" x14ac:dyDescent="0.3">
      <c r="A39" t="s">
        <v>6</v>
      </c>
      <c r="B39" t="s">
        <v>110</v>
      </c>
      <c r="C39" s="26">
        <v>61437</v>
      </c>
    </row>
    <row r="40" spans="1:3" x14ac:dyDescent="0.3">
      <c r="A40" t="s">
        <v>6</v>
      </c>
      <c r="B40" t="s">
        <v>82</v>
      </c>
      <c r="C40" s="26">
        <v>28200</v>
      </c>
    </row>
    <row r="41" spans="1:3" x14ac:dyDescent="0.3">
      <c r="A41" t="s">
        <v>6</v>
      </c>
      <c r="B41" t="s">
        <v>83</v>
      </c>
      <c r="C41" s="26">
        <v>38500</v>
      </c>
    </row>
    <row r="42" spans="1:3" x14ac:dyDescent="0.3">
      <c r="A42" t="s">
        <v>6</v>
      </c>
      <c r="B42" t="s">
        <v>84</v>
      </c>
      <c r="C42" s="26">
        <v>18200</v>
      </c>
    </row>
    <row r="43" spans="1:3" x14ac:dyDescent="0.3">
      <c r="A43" t="s">
        <v>6</v>
      </c>
      <c r="B43" t="s">
        <v>75</v>
      </c>
      <c r="C43" s="26">
        <v>54100</v>
      </c>
    </row>
    <row r="44" spans="1:3" x14ac:dyDescent="0.3">
      <c r="A44" t="s">
        <v>6</v>
      </c>
      <c r="B44" t="s">
        <v>78</v>
      </c>
      <c r="C44" s="26">
        <v>1505000</v>
      </c>
    </row>
    <row r="45" spans="1:3" x14ac:dyDescent="0.3">
      <c r="A45" t="s">
        <v>6</v>
      </c>
      <c r="B45" t="s">
        <v>101</v>
      </c>
      <c r="C45" s="26">
        <v>448000</v>
      </c>
    </row>
    <row r="46" spans="1:3" x14ac:dyDescent="0.3">
      <c r="A46" t="s">
        <v>6</v>
      </c>
      <c r="B46" t="s">
        <v>85</v>
      </c>
      <c r="C46" s="26">
        <v>16100</v>
      </c>
    </row>
    <row r="47" spans="1:3" x14ac:dyDescent="0.3">
      <c r="A47" t="s">
        <v>6</v>
      </c>
      <c r="B47" t="s">
        <v>86</v>
      </c>
      <c r="C47" s="26">
        <v>18500</v>
      </c>
    </row>
    <row r="48" spans="1:3" x14ac:dyDescent="0.3">
      <c r="A48" t="s">
        <v>6</v>
      </c>
      <c r="B48" t="s">
        <v>121</v>
      </c>
      <c r="C48" s="26">
        <v>135000</v>
      </c>
    </row>
    <row r="49" spans="1:3" x14ac:dyDescent="0.3">
      <c r="A49" t="s">
        <v>6</v>
      </c>
      <c r="B49" t="s">
        <v>87</v>
      </c>
      <c r="C49" s="26">
        <v>315000</v>
      </c>
    </row>
    <row r="50" spans="1:3" x14ac:dyDescent="0.3">
      <c r="A50" t="s">
        <v>6</v>
      </c>
      <c r="B50" t="s">
        <v>76</v>
      </c>
      <c r="C50" s="26">
        <v>208000</v>
      </c>
    </row>
    <row r="51" spans="1:3" x14ac:dyDescent="0.3">
      <c r="A51" t="s">
        <v>6</v>
      </c>
      <c r="B51" t="s">
        <v>88</v>
      </c>
      <c r="C51" s="26">
        <v>1650000</v>
      </c>
    </row>
    <row r="52" spans="1:3" x14ac:dyDescent="0.3">
      <c r="A52" t="s">
        <v>6</v>
      </c>
      <c r="B52" t="s">
        <v>111</v>
      </c>
      <c r="C52" s="26">
        <v>245000</v>
      </c>
    </row>
    <row r="53" spans="1:3" x14ac:dyDescent="0.3">
      <c r="A53" t="s">
        <v>6</v>
      </c>
      <c r="B53" t="s">
        <v>89</v>
      </c>
      <c r="C53" s="26">
        <v>1120000</v>
      </c>
    </row>
    <row r="54" spans="1:3" x14ac:dyDescent="0.3">
      <c r="A54" t="s">
        <v>7</v>
      </c>
      <c r="B54" t="s">
        <v>90</v>
      </c>
      <c r="C54" s="26">
        <v>74000</v>
      </c>
    </row>
    <row r="55" spans="1:3" x14ac:dyDescent="0.3">
      <c r="A55" t="s">
        <v>7</v>
      </c>
      <c r="B55" t="s">
        <v>114</v>
      </c>
      <c r="C55" s="26">
        <v>1145000</v>
      </c>
    </row>
    <row r="56" spans="1:3" x14ac:dyDescent="0.3">
      <c r="A56" t="s">
        <v>7</v>
      </c>
      <c r="B56" t="s">
        <v>63</v>
      </c>
      <c r="C56" s="26">
        <v>1815000</v>
      </c>
    </row>
    <row r="57" spans="1:3" x14ac:dyDescent="0.3">
      <c r="A57" t="s">
        <v>7</v>
      </c>
      <c r="B57" t="s">
        <v>64</v>
      </c>
      <c r="C57" s="26">
        <v>252000</v>
      </c>
    </row>
    <row r="58" spans="1:3" x14ac:dyDescent="0.3">
      <c r="A58" t="s">
        <v>7</v>
      </c>
      <c r="B58" t="s">
        <v>62</v>
      </c>
      <c r="C58" s="26">
        <v>156000</v>
      </c>
    </row>
    <row r="59" spans="1:3" x14ac:dyDescent="0.3">
      <c r="A59" t="s">
        <v>7</v>
      </c>
      <c r="B59" t="s">
        <v>91</v>
      </c>
      <c r="C59" s="26">
        <v>17200</v>
      </c>
    </row>
    <row r="60" spans="1:3" x14ac:dyDescent="0.3">
      <c r="A60" t="s">
        <v>7</v>
      </c>
      <c r="B60" t="s">
        <v>92</v>
      </c>
      <c r="C60" s="26">
        <v>11800</v>
      </c>
    </row>
    <row r="61" spans="1:3" x14ac:dyDescent="0.3">
      <c r="A61" t="s">
        <v>7</v>
      </c>
      <c r="B61" t="s">
        <v>93</v>
      </c>
      <c r="C61" s="26">
        <v>23800</v>
      </c>
    </row>
    <row r="62" spans="1:3" x14ac:dyDescent="0.3">
      <c r="A62" t="s">
        <v>7</v>
      </c>
      <c r="B62" t="s">
        <v>67</v>
      </c>
      <c r="C62" s="26">
        <v>3200</v>
      </c>
    </row>
    <row r="63" spans="1:3" x14ac:dyDescent="0.3">
      <c r="A63" t="s">
        <v>7</v>
      </c>
      <c r="B63" t="s">
        <v>94</v>
      </c>
      <c r="C63" s="26">
        <v>11400</v>
      </c>
    </row>
    <row r="64" spans="1:3" x14ac:dyDescent="0.3">
      <c r="A64" t="s">
        <v>7</v>
      </c>
      <c r="B64" t="s">
        <v>95</v>
      </c>
      <c r="C64" s="26">
        <v>6400</v>
      </c>
    </row>
    <row r="65" spans="1:3" x14ac:dyDescent="0.3">
      <c r="A65" t="s">
        <v>7</v>
      </c>
      <c r="B65" t="s">
        <v>96</v>
      </c>
      <c r="C65" s="26">
        <v>5300</v>
      </c>
    </row>
    <row r="66" spans="1:3" x14ac:dyDescent="0.3">
      <c r="A66" t="s">
        <v>7</v>
      </c>
      <c r="B66" t="s">
        <v>97</v>
      </c>
      <c r="C66" s="26">
        <v>6100</v>
      </c>
    </row>
    <row r="67" spans="1:3" x14ac:dyDescent="0.3">
      <c r="A67" t="s">
        <v>7</v>
      </c>
      <c r="B67" t="s">
        <v>98</v>
      </c>
      <c r="C67" s="26">
        <v>4200</v>
      </c>
    </row>
    <row r="68" spans="1:3" x14ac:dyDescent="0.3">
      <c r="A68" t="s">
        <v>7</v>
      </c>
      <c r="B68" t="s">
        <v>99</v>
      </c>
      <c r="C68" s="26">
        <v>750</v>
      </c>
    </row>
    <row r="69" spans="1:3" x14ac:dyDescent="0.3">
      <c r="A69" t="s">
        <v>7</v>
      </c>
      <c r="B69" t="s">
        <v>71</v>
      </c>
      <c r="C69" s="26">
        <v>29500</v>
      </c>
    </row>
    <row r="70" spans="1:3" x14ac:dyDescent="0.3">
      <c r="A70" t="s">
        <v>7</v>
      </c>
      <c r="B70" t="s">
        <v>74</v>
      </c>
      <c r="C70" s="26">
        <v>26100</v>
      </c>
    </row>
    <row r="71" spans="1:3" x14ac:dyDescent="0.3">
      <c r="A71" t="s">
        <v>7</v>
      </c>
      <c r="B71" t="s">
        <v>72</v>
      </c>
      <c r="C71" s="26">
        <v>31200</v>
      </c>
    </row>
    <row r="72" spans="1:3" x14ac:dyDescent="0.3">
      <c r="A72" t="s">
        <v>7</v>
      </c>
      <c r="B72" t="s">
        <v>82</v>
      </c>
      <c r="C72" s="26">
        <v>7800</v>
      </c>
    </row>
    <row r="73" spans="1:3" x14ac:dyDescent="0.3">
      <c r="A73" t="s">
        <v>7</v>
      </c>
      <c r="B73" t="s">
        <v>110</v>
      </c>
      <c r="C73" s="26">
        <v>3100</v>
      </c>
    </row>
    <row r="74" spans="1:3" x14ac:dyDescent="0.3">
      <c r="A74" t="s">
        <v>7</v>
      </c>
      <c r="B74" t="s">
        <v>81</v>
      </c>
      <c r="C74" s="26">
        <v>11800</v>
      </c>
    </row>
    <row r="75" spans="1:3" x14ac:dyDescent="0.3">
      <c r="A75" t="s">
        <v>7</v>
      </c>
      <c r="B75" t="s">
        <v>100</v>
      </c>
      <c r="C75" s="26">
        <v>6200</v>
      </c>
    </row>
    <row r="76" spans="1:3" x14ac:dyDescent="0.3">
      <c r="A76" t="s">
        <v>7</v>
      </c>
      <c r="B76" t="s">
        <v>78</v>
      </c>
      <c r="C76" s="26">
        <v>88000</v>
      </c>
    </row>
    <row r="77" spans="1:3" x14ac:dyDescent="0.3">
      <c r="A77" t="s">
        <v>7</v>
      </c>
      <c r="B77" t="s">
        <v>85</v>
      </c>
      <c r="C77" s="26">
        <v>3800</v>
      </c>
    </row>
    <row r="78" spans="1:3" x14ac:dyDescent="0.3">
      <c r="A78" t="s">
        <v>7</v>
      </c>
      <c r="B78" t="s">
        <v>101</v>
      </c>
      <c r="C78" s="26">
        <v>14500</v>
      </c>
    </row>
    <row r="79" spans="1:3" x14ac:dyDescent="0.3">
      <c r="A79" t="s">
        <v>7</v>
      </c>
      <c r="B79" t="s">
        <v>121</v>
      </c>
      <c r="C79" s="26">
        <v>42000</v>
      </c>
    </row>
    <row r="80" spans="1:3" x14ac:dyDescent="0.3">
      <c r="A80" t="s">
        <v>7</v>
      </c>
      <c r="B80" t="s">
        <v>102</v>
      </c>
      <c r="C80" s="26">
        <v>64500</v>
      </c>
    </row>
    <row r="81" spans="1:3" x14ac:dyDescent="0.3">
      <c r="A81" t="s">
        <v>8</v>
      </c>
      <c r="B81" t="s">
        <v>103</v>
      </c>
      <c r="C81" s="26">
        <v>38200</v>
      </c>
    </row>
    <row r="82" spans="1:3" x14ac:dyDescent="0.3">
      <c r="A82" t="s">
        <v>8</v>
      </c>
      <c r="B82" t="s">
        <v>93</v>
      </c>
      <c r="C82" s="26">
        <v>219400</v>
      </c>
    </row>
    <row r="83" spans="1:3" x14ac:dyDescent="0.3">
      <c r="A83" t="s">
        <v>8</v>
      </c>
      <c r="B83" t="s">
        <v>67</v>
      </c>
      <c r="C83" s="26">
        <v>126500</v>
      </c>
    </row>
    <row r="84" spans="1:3" x14ac:dyDescent="0.3">
      <c r="A84" t="s">
        <v>8</v>
      </c>
      <c r="B84" t="s">
        <v>104</v>
      </c>
      <c r="C84" s="26">
        <v>2350</v>
      </c>
    </row>
    <row r="85" spans="1:3" x14ac:dyDescent="0.3">
      <c r="A85" t="s">
        <v>8</v>
      </c>
      <c r="B85" t="s">
        <v>105</v>
      </c>
      <c r="C85" s="26">
        <v>25800</v>
      </c>
    </row>
    <row r="86" spans="1:3" x14ac:dyDescent="0.3">
      <c r="A86" t="s">
        <v>8</v>
      </c>
      <c r="B86" t="s">
        <v>80</v>
      </c>
      <c r="C86" s="26">
        <v>14100</v>
      </c>
    </row>
    <row r="87" spans="1:3" x14ac:dyDescent="0.3">
      <c r="A87" t="s">
        <v>8</v>
      </c>
      <c r="B87" t="s">
        <v>91</v>
      </c>
      <c r="C87" s="26">
        <v>12800</v>
      </c>
    </row>
    <row r="88" spans="1:3" x14ac:dyDescent="0.3">
      <c r="A88" t="s">
        <v>8</v>
      </c>
      <c r="B88" t="s">
        <v>96</v>
      </c>
      <c r="C88" s="26">
        <v>28400</v>
      </c>
    </row>
    <row r="89" spans="1:3" x14ac:dyDescent="0.3">
      <c r="A89" t="s">
        <v>8</v>
      </c>
      <c r="B89" t="s">
        <v>92</v>
      </c>
      <c r="C89" s="26">
        <v>9400</v>
      </c>
    </row>
    <row r="90" spans="1:3" x14ac:dyDescent="0.3">
      <c r="A90" t="s">
        <v>8</v>
      </c>
      <c r="B90" t="s">
        <v>99</v>
      </c>
      <c r="C90" s="26">
        <v>1100</v>
      </c>
    </row>
    <row r="91" spans="1:3" x14ac:dyDescent="0.3">
      <c r="A91" t="s">
        <v>8</v>
      </c>
      <c r="B91" t="s">
        <v>72</v>
      </c>
      <c r="C91" s="26">
        <v>68200</v>
      </c>
    </row>
    <row r="92" spans="1:3" x14ac:dyDescent="0.3">
      <c r="A92" t="s">
        <v>8</v>
      </c>
      <c r="B92" t="s">
        <v>71</v>
      </c>
      <c r="C92" s="26">
        <v>44100</v>
      </c>
    </row>
    <row r="93" spans="1:3" x14ac:dyDescent="0.3">
      <c r="A93" t="s">
        <v>8</v>
      </c>
      <c r="B93" t="s">
        <v>74</v>
      </c>
      <c r="C93" s="26">
        <v>6400</v>
      </c>
    </row>
    <row r="94" spans="1:3" x14ac:dyDescent="0.3">
      <c r="A94" t="s">
        <v>8</v>
      </c>
      <c r="B94" t="s">
        <v>106</v>
      </c>
      <c r="C94" s="26">
        <v>11400</v>
      </c>
    </row>
    <row r="95" spans="1:3" x14ac:dyDescent="0.3">
      <c r="A95" t="s">
        <v>8</v>
      </c>
      <c r="B95" t="s">
        <v>107</v>
      </c>
      <c r="C95" s="26">
        <v>31200</v>
      </c>
    </row>
    <row r="96" spans="1:3" x14ac:dyDescent="0.3">
      <c r="A96" t="s">
        <v>8</v>
      </c>
      <c r="B96" t="s">
        <v>112</v>
      </c>
      <c r="C96" s="26">
        <v>28500</v>
      </c>
    </row>
    <row r="97" spans="1:3" x14ac:dyDescent="0.3">
      <c r="A97" t="s">
        <v>8</v>
      </c>
      <c r="B97" t="s">
        <v>108</v>
      </c>
      <c r="C97" s="26">
        <v>8100</v>
      </c>
    </row>
    <row r="98" spans="1:3" x14ac:dyDescent="0.3">
      <c r="A98" t="s">
        <v>8</v>
      </c>
      <c r="B98" t="s">
        <v>73</v>
      </c>
      <c r="C98" s="26">
        <v>9200</v>
      </c>
    </row>
    <row r="99" spans="1:3" x14ac:dyDescent="0.3">
      <c r="A99" t="s">
        <v>8</v>
      </c>
      <c r="B99" t="s">
        <v>63</v>
      </c>
      <c r="C99" s="26">
        <v>945000</v>
      </c>
    </row>
    <row r="100" spans="1:3" x14ac:dyDescent="0.3">
      <c r="A100" t="s">
        <v>8</v>
      </c>
      <c r="B100" t="s">
        <v>62</v>
      </c>
      <c r="C100" s="26">
        <v>464000</v>
      </c>
    </row>
    <row r="101" spans="1:3" x14ac:dyDescent="0.3">
      <c r="A101" t="s">
        <v>8</v>
      </c>
      <c r="B101" t="s">
        <v>61</v>
      </c>
      <c r="C101" s="26">
        <v>148000</v>
      </c>
    </row>
    <row r="102" spans="1:3" x14ac:dyDescent="0.3">
      <c r="A102" t="s">
        <v>8</v>
      </c>
      <c r="B102" t="s">
        <v>64</v>
      </c>
      <c r="C102" s="26">
        <v>11500</v>
      </c>
    </row>
    <row r="103" spans="1:3" x14ac:dyDescent="0.3">
      <c r="A103" t="s">
        <v>8</v>
      </c>
      <c r="B103" t="s">
        <v>109</v>
      </c>
      <c r="C103" s="26">
        <v>44000</v>
      </c>
    </row>
    <row r="104" spans="1:3" x14ac:dyDescent="0.3">
      <c r="A104" t="s">
        <v>8</v>
      </c>
      <c r="B104" t="s">
        <v>89</v>
      </c>
      <c r="C104" s="26">
        <v>282000</v>
      </c>
    </row>
    <row r="105" spans="1:3" x14ac:dyDescent="0.3">
      <c r="A105" t="s">
        <v>8</v>
      </c>
      <c r="B105" t="s">
        <v>115</v>
      </c>
      <c r="C105" s="26">
        <v>18200</v>
      </c>
    </row>
    <row r="106" spans="1:3" x14ac:dyDescent="0.3">
      <c r="A106" t="s">
        <v>8</v>
      </c>
      <c r="B106" t="s">
        <v>101</v>
      </c>
      <c r="C106" s="26">
        <v>36500</v>
      </c>
    </row>
    <row r="107" spans="1:3" x14ac:dyDescent="0.3">
      <c r="A107" t="s">
        <v>8</v>
      </c>
      <c r="B107" t="s">
        <v>85</v>
      </c>
      <c r="C107" s="26">
        <v>4200</v>
      </c>
    </row>
    <row r="108" spans="1:3" x14ac:dyDescent="0.3">
      <c r="A108" t="s">
        <v>8</v>
      </c>
      <c r="B108" t="s">
        <v>78</v>
      </c>
      <c r="C108" s="26">
        <v>24100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ABEF-330A-4775-8490-3EDF6CC132C4}">
  <dimension ref="C21:M41"/>
  <sheetViews>
    <sheetView zoomScale="83" zoomScaleNormal="83" workbookViewId="0">
      <selection activeCell="S13" sqref="S13"/>
    </sheetView>
  </sheetViews>
  <sheetFormatPr defaultRowHeight="14.4" x14ac:dyDescent="0.3"/>
  <sheetData>
    <row r="21" spans="3:13" x14ac:dyDescent="0.3">
      <c r="J21" s="17"/>
      <c r="K21" s="21"/>
      <c r="L21" s="19"/>
      <c r="M21" s="7"/>
    </row>
    <row r="22" spans="3:13" x14ac:dyDescent="0.3">
      <c r="L22" s="22"/>
      <c r="M22" s="7"/>
    </row>
    <row r="23" spans="3:13" x14ac:dyDescent="0.3">
      <c r="J23" s="17"/>
      <c r="K23" s="18"/>
      <c r="L23" s="22"/>
      <c r="M23" s="7"/>
    </row>
    <row r="24" spans="3:13" x14ac:dyDescent="0.3">
      <c r="L24" s="22"/>
      <c r="M24" s="7"/>
    </row>
    <row r="25" spans="3:13" x14ac:dyDescent="0.3">
      <c r="L25" s="22"/>
      <c r="M25" s="7"/>
    </row>
    <row r="26" spans="3:13" x14ac:dyDescent="0.3">
      <c r="L26" s="22"/>
      <c r="M26" s="7"/>
    </row>
    <row r="27" spans="3:13" x14ac:dyDescent="0.3">
      <c r="L27" s="22"/>
      <c r="M27" s="7"/>
    </row>
    <row r="29" spans="3:13" x14ac:dyDescent="0.3">
      <c r="J29" s="17"/>
    </row>
    <row r="30" spans="3:13" x14ac:dyDescent="0.3">
      <c r="J30" s="19"/>
      <c r="K30" s="7"/>
      <c r="L30" s="19"/>
      <c r="M30" s="7"/>
    </row>
    <row r="31" spans="3:13" x14ac:dyDescent="0.3">
      <c r="J31" s="1"/>
      <c r="L31" s="1"/>
    </row>
    <row r="32" spans="3:13" x14ac:dyDescent="0.3">
      <c r="C32" s="16"/>
      <c r="E32" s="18"/>
      <c r="J32" s="1"/>
      <c r="L32" s="1"/>
    </row>
    <row r="33" spans="3:12" x14ac:dyDescent="0.3">
      <c r="C33" s="16"/>
      <c r="J33" s="1"/>
      <c r="L33" s="1"/>
    </row>
    <row r="34" spans="3:12" x14ac:dyDescent="0.3">
      <c r="J34" s="1"/>
      <c r="L34" s="1"/>
    </row>
    <row r="35" spans="3:12" x14ac:dyDescent="0.3">
      <c r="G35" s="19"/>
      <c r="H35" s="7"/>
      <c r="J35" s="1"/>
      <c r="L35" s="1"/>
    </row>
    <row r="36" spans="3:12" x14ac:dyDescent="0.3">
      <c r="G36" s="1"/>
      <c r="J36" s="1"/>
      <c r="L36" s="1"/>
    </row>
    <row r="37" spans="3:12" x14ac:dyDescent="0.3">
      <c r="G37" s="1"/>
    </row>
    <row r="38" spans="3:12" x14ac:dyDescent="0.3">
      <c r="C38" s="12"/>
      <c r="G38" s="1"/>
    </row>
    <row r="39" spans="3:12" x14ac:dyDescent="0.3">
      <c r="C39" s="12"/>
      <c r="G39" s="1"/>
    </row>
    <row r="40" spans="3:12" x14ac:dyDescent="0.3">
      <c r="G40" s="1"/>
    </row>
    <row r="41" spans="3:12" x14ac:dyDescent="0.3">
      <c r="G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Agri-data</vt:lpstr>
      <vt:lpstr>Bank Wise Agri finance Data</vt:lpstr>
      <vt:lpstr>Output-data</vt:lpstr>
      <vt:lpstr>Crops Data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Zujaja Khatri</dc:creator>
  <cp:lastModifiedBy>Zujaja Khatri</cp:lastModifiedBy>
  <dcterms:created xsi:type="dcterms:W3CDTF">2026-09-21T05:23:04Z</dcterms:created>
  <dcterms:modified xsi:type="dcterms:W3CDTF">2026-10-09T12:43:16Z</dcterms:modified>
</cp:coreProperties>
</file>